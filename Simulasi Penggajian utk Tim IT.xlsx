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170"/>
  </bookViews>
  <sheets>
    <sheet name="Rekap" sheetId="1" r:id="rId1"/>
    <sheet name="Payroll" sheetId="2" r:id="rId2"/>
    <sheet name="Sheet3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JINAN</author>
  </authors>
  <commentList>
    <comment ref="F1" authorId="0">
      <text>
        <r>
          <rPr>
            <b/>
            <sz val="9"/>
            <rFont val="Times New Roman"/>
            <charset val="0"/>
          </rPr>
          <t>JINAN:</t>
        </r>
        <r>
          <rPr>
            <sz val="9"/>
            <rFont val="Times New Roman"/>
            <charset val="0"/>
          </rPr>
          <t xml:space="preserve">
Tahun mengabdi</t>
        </r>
      </text>
    </comment>
    <comment ref="J1" authorId="0">
      <text>
        <r>
          <rPr>
            <b/>
            <sz val="9"/>
            <rFont val="Times New Roman"/>
            <charset val="0"/>
          </rPr>
          <t>JINAN:</t>
        </r>
        <r>
          <rPr>
            <sz val="9"/>
            <rFont val="Times New Roman"/>
            <charset val="0"/>
          </rPr>
          <t xml:space="preserve">
Tergantung penilaian kinerja
</t>
        </r>
      </text>
    </comment>
    <comment ref="J6" authorId="0">
      <text>
        <r>
          <rPr>
            <b/>
            <sz val="9"/>
            <rFont val="Times New Roman"/>
            <charset val="0"/>
          </rPr>
          <t>JINAN:</t>
        </r>
        <r>
          <rPr>
            <sz val="9"/>
            <rFont val="Times New Roman"/>
            <charset val="0"/>
          </rPr>
          <t xml:space="preserve">
Dosen utk Variabel masih ditunaikan 50%</t>
        </r>
      </text>
    </comment>
    <comment ref="J7" authorId="0">
      <text>
        <r>
          <rPr>
            <b/>
            <sz val="9"/>
            <rFont val="Times New Roman"/>
            <charset val="0"/>
          </rPr>
          <t>JINAN:</t>
        </r>
        <r>
          <rPr>
            <sz val="9"/>
            <rFont val="Times New Roman"/>
            <charset val="0"/>
          </rPr>
          <t xml:space="preserve">
Dosen utk Variabel masih ditunaikan 50%</t>
        </r>
      </text>
    </comment>
  </commentList>
</comments>
</file>

<file path=xl/sharedStrings.xml><?xml version="1.0" encoding="utf-8"?>
<sst xmlns="http://schemas.openxmlformats.org/spreadsheetml/2006/main" count="190" uniqueCount="119">
  <si>
    <t>No</t>
  </si>
  <si>
    <t>Nama</t>
  </si>
  <si>
    <t>Jabatan</t>
  </si>
  <si>
    <t>Khdrn</t>
  </si>
  <si>
    <t>Golongan</t>
  </si>
  <si>
    <t>TMT</t>
  </si>
  <si>
    <t>Gapok</t>
  </si>
  <si>
    <t>Tunjangan Struktural</t>
  </si>
  <si>
    <t>Tunj.jab/fungsional</t>
  </si>
  <si>
    <t>Tj.Variabel</t>
  </si>
  <si>
    <t>Tj.Istri</t>
  </si>
  <si>
    <t>Tj.Anak</t>
  </si>
  <si>
    <t>BPJS TK</t>
  </si>
  <si>
    <t>Tj.Transportasi</t>
  </si>
  <si>
    <t>Penyesuaian</t>
  </si>
  <si>
    <t>Jumlah</t>
  </si>
  <si>
    <t>Arisan</t>
  </si>
  <si>
    <t>BPJS-TK</t>
  </si>
  <si>
    <t>Pendd.</t>
  </si>
  <si>
    <t>Sosial</t>
  </si>
  <si>
    <t>KKB</t>
  </si>
  <si>
    <t>BTN/ BNS</t>
  </si>
  <si>
    <t>mkn</t>
  </si>
  <si>
    <t>jml Pot</t>
  </si>
  <si>
    <t>Rapel</t>
  </si>
  <si>
    <t>Lembur</t>
  </si>
  <si>
    <t>THP</t>
  </si>
  <si>
    <t>TENDIK</t>
  </si>
  <si>
    <t>Zulfikar, S.E</t>
  </si>
  <si>
    <t>Ka. UPT Perpustakaan</t>
  </si>
  <si>
    <t>IIIB</t>
  </si>
  <si>
    <t>Kartini Sari, S.Hi</t>
  </si>
  <si>
    <t>Admin Prodi</t>
  </si>
  <si>
    <t>IIIA</t>
  </si>
  <si>
    <t>sisa 6 jam</t>
  </si>
  <si>
    <t>DOSEN</t>
  </si>
  <si>
    <t>Muhammad Thoriq, M.Kom</t>
  </si>
  <si>
    <t>Ka.Prodi Informatika</t>
  </si>
  <si>
    <t>Desi Rosalina, SM, MM</t>
  </si>
  <si>
    <t>Dosen Tetap</t>
  </si>
  <si>
    <t>Rekap Gaji Tendik Universitas Adzkia Via Payroll</t>
  </si>
  <si>
    <t>Agustus 2025</t>
  </si>
  <si>
    <t>Account Number</t>
  </si>
  <si>
    <t>Amount</t>
  </si>
  <si>
    <t>Message</t>
  </si>
  <si>
    <t>Transfer Type</t>
  </si>
  <si>
    <t>Bank Code</t>
  </si>
  <si>
    <t>Name</t>
  </si>
  <si>
    <t>7100.0220.66108-6</t>
  </si>
  <si>
    <t>Gaji Bl Agustus 2025</t>
  </si>
  <si>
    <t>Internal</t>
  </si>
  <si>
    <t>-</t>
  </si>
  <si>
    <t>4210040947</t>
  </si>
  <si>
    <t>4800000329</t>
  </si>
  <si>
    <t>4250001701</t>
  </si>
  <si>
    <t>4800005978</t>
  </si>
  <si>
    <t>Dessy Nurul Ulya</t>
  </si>
  <si>
    <t>4210041813</t>
  </si>
  <si>
    <t>4800005762</t>
  </si>
  <si>
    <t>Febri Andika Putra</t>
  </si>
  <si>
    <t>4210052940</t>
  </si>
  <si>
    <t>Trimah Yudi</t>
  </si>
  <si>
    <t>4210044700</t>
  </si>
  <si>
    <t>1012.0210.03143-1</t>
  </si>
  <si>
    <t>Yuriszulmi</t>
  </si>
  <si>
    <t>4210051633</t>
  </si>
  <si>
    <t>4210056102</t>
  </si>
  <si>
    <t>4800004946</t>
  </si>
  <si>
    <t>4210053256</t>
  </si>
  <si>
    <t>Zainal Abidin</t>
  </si>
  <si>
    <t>4210047918</t>
  </si>
  <si>
    <t>4800005785</t>
  </si>
  <si>
    <t xml:space="preserve">Nur Apfani </t>
  </si>
  <si>
    <t>4800006061</t>
  </si>
  <si>
    <t>Fadhlan Alfi</t>
  </si>
  <si>
    <t>4210051626</t>
  </si>
  <si>
    <t>Resfika</t>
  </si>
  <si>
    <t>4210049450</t>
  </si>
  <si>
    <t>Elvinia Ramadhita</t>
  </si>
  <si>
    <t>4210056253</t>
  </si>
  <si>
    <t>Silaturrahmi</t>
  </si>
  <si>
    <t>4210051645</t>
  </si>
  <si>
    <t>Fadilla Windryani</t>
  </si>
  <si>
    <t>4800006162</t>
  </si>
  <si>
    <t>1008.0210.09124-3</t>
  </si>
  <si>
    <t>Isah Watiqah</t>
  </si>
  <si>
    <t xml:space="preserve">     </t>
  </si>
  <si>
    <t>4210053614</t>
  </si>
  <si>
    <t>4210053643</t>
  </si>
  <si>
    <t>Fila Yulianda</t>
  </si>
  <si>
    <t>1014.0210.08870-2</t>
  </si>
  <si>
    <t>Dewi Fransiska</t>
  </si>
  <si>
    <t>4210056264</t>
  </si>
  <si>
    <t>4210054067</t>
  </si>
  <si>
    <t>Hagi Arfilindo</t>
  </si>
  <si>
    <t>4210053995</t>
  </si>
  <si>
    <t>4210055419</t>
  </si>
  <si>
    <t>Zikra Alvarisi a.n Rusli</t>
  </si>
  <si>
    <t>4210040763</t>
  </si>
  <si>
    <t>4800000337</t>
  </si>
  <si>
    <t>4210056576</t>
  </si>
  <si>
    <t>Sosial Agustus 2025</t>
  </si>
  <si>
    <t>Nova Hayati/uang sosial</t>
  </si>
  <si>
    <t>4210051100</t>
  </si>
  <si>
    <t>Arisan  Agustus 2025</t>
  </si>
  <si>
    <t>Muhammad Iqbal/uang arisan</t>
  </si>
  <si>
    <t>TOTAL</t>
  </si>
  <si>
    <t>Mengetahui,</t>
  </si>
  <si>
    <t>Diperiksa oleh,</t>
  </si>
  <si>
    <t>Padang, 25 Agustus  2025</t>
  </si>
  <si>
    <t xml:space="preserve"> </t>
  </si>
  <si>
    <t>Wakil Rektor II,</t>
  </si>
  <si>
    <t>Kabir  SDM,</t>
  </si>
  <si>
    <t>Ka.Biro Keu &amp; Umum</t>
  </si>
  <si>
    <t>Kabag  Keu,</t>
  </si>
  <si>
    <t>Trinda Farhan Satria, M.T.</t>
  </si>
  <si>
    <t>Winda Noprina, M.Pd</t>
  </si>
  <si>
    <t>Widdya Rahmalina, M.Si</t>
  </si>
  <si>
    <t xml:space="preserve"> Halida, A.Md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</si>
</sst>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_-;\-* #,##0_-;_-* &quot;-&quot;??_-;_-@_-"/>
    <numFmt numFmtId="181" formatCode="_(* #,##0_);_(* \(#,##0\);_(* &quot;-&quot;??_);_(@_)"/>
  </numFmts>
  <fonts count="43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sz val="12"/>
      <name val="Arial"/>
      <charset val="134"/>
    </font>
    <font>
      <sz val="12"/>
      <name val="Arial Narrow"/>
      <charset val="134"/>
    </font>
    <font>
      <b/>
      <sz val="10"/>
      <name val="Arial Narrow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Arial Narrow"/>
      <charset val="134"/>
    </font>
    <font>
      <b/>
      <sz val="10"/>
      <color theme="1"/>
      <name val="Calibri"/>
      <charset val="134"/>
      <scheme val="minor"/>
    </font>
    <font>
      <sz val="10"/>
      <color theme="1"/>
      <name val="Arial Narrow"/>
      <charset val="134"/>
    </font>
    <font>
      <sz val="10"/>
      <name val="Arial Narrow"/>
      <charset val="134"/>
    </font>
    <font>
      <sz val="10"/>
      <color rgb="FF000000"/>
      <name val="Arial Narrow"/>
      <charset val="134"/>
    </font>
    <font>
      <sz val="10"/>
      <color theme="1"/>
      <name val="Calibri"/>
      <charset val="1"/>
      <scheme val="minor"/>
    </font>
    <font>
      <sz val="8"/>
      <color theme="1"/>
      <name val="Arial Narrow"/>
      <charset val="134"/>
    </font>
    <font>
      <sz val="9"/>
      <name val="Arial Narrow"/>
      <charset val="134"/>
    </font>
    <font>
      <sz val="9"/>
      <color theme="1"/>
      <name val="Arial Narrow"/>
      <charset val="134"/>
    </font>
    <font>
      <sz val="9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9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5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11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2" fillId="7" borderId="11" applyNumberFormat="0" applyAlignment="0" applyProtection="0">
      <alignment vertical="center"/>
    </xf>
    <xf numFmtId="0" fontId="33" fillId="8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0" fontId="0" fillId="0" borderId="0"/>
    <xf numFmtId="0" fontId="1" fillId="0" borderId="0"/>
    <xf numFmtId="176" fontId="1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51" applyAlignment="1">
      <alignment horizontal="center" wrapText="1"/>
    </xf>
    <xf numFmtId="0" fontId="1" fillId="2" borderId="0" xfId="51" applyFill="1"/>
    <xf numFmtId="49" fontId="2" fillId="0" borderId="0" xfId="49" applyNumberFormat="1" applyFont="1" applyAlignment="1">
      <alignment horizontal="center" vertical="center"/>
    </xf>
    <xf numFmtId="0" fontId="2" fillId="0" borderId="0" xfId="51" applyFont="1" applyAlignment="1">
      <alignment vertical="center"/>
    </xf>
    <xf numFmtId="0" fontId="1" fillId="0" borderId="0" xfId="51"/>
    <xf numFmtId="49" fontId="3" fillId="0" borderId="0" xfId="49" applyNumberFormat="1" applyFont="1" applyAlignment="1">
      <alignment horizontal="center" vertical="center"/>
    </xf>
    <xf numFmtId="49" fontId="3" fillId="0" borderId="1" xfId="49" applyNumberFormat="1" applyFont="1" applyBorder="1" applyAlignment="1">
      <alignment horizontal="center" vertical="center"/>
    </xf>
    <xf numFmtId="49" fontId="4" fillId="3" borderId="2" xfId="49" applyNumberFormat="1" applyFont="1" applyFill="1" applyBorder="1" applyAlignment="1">
      <alignment horizontal="center" vertical="center" wrapText="1"/>
    </xf>
    <xf numFmtId="0" fontId="4" fillId="3" borderId="2" xfId="51" applyFont="1" applyFill="1" applyBorder="1" applyAlignment="1">
      <alignment horizontal="center" vertical="center" wrapText="1"/>
    </xf>
    <xf numFmtId="0" fontId="1" fillId="3" borderId="0" xfId="51" applyFill="1" applyAlignment="1">
      <alignment horizontal="center" wrapText="1"/>
    </xf>
    <xf numFmtId="49" fontId="2" fillId="3" borderId="2" xfId="49" applyNumberFormat="1" applyFont="1" applyFill="1" applyBorder="1" applyAlignment="1">
      <alignment horizontal="center" vertical="center"/>
    </xf>
    <xf numFmtId="37" fontId="2" fillId="3" borderId="2" xfId="51" applyNumberFormat="1" applyFont="1" applyFill="1" applyBorder="1" applyAlignment="1">
      <alignment vertical="center"/>
    </xf>
    <xf numFmtId="0" fontId="2" fillId="3" borderId="2" xfId="51" applyFont="1" applyFill="1" applyBorder="1" applyAlignment="1">
      <alignment vertical="center"/>
    </xf>
    <xf numFmtId="0" fontId="1" fillId="3" borderId="0" xfId="51" applyFill="1"/>
    <xf numFmtId="0" fontId="5" fillId="3" borderId="2" xfId="0" applyFont="1" applyFill="1" applyBorder="1"/>
    <xf numFmtId="49" fontId="4" fillId="0" borderId="2" xfId="49" applyNumberFormat="1" applyFont="1" applyBorder="1" applyAlignment="1">
      <alignment horizontal="center" vertical="center"/>
    </xf>
    <xf numFmtId="37" fontId="4" fillId="0" borderId="2" xfId="51" applyNumberFormat="1" applyFont="1" applyBorder="1" applyAlignment="1">
      <alignment vertical="center"/>
    </xf>
    <xf numFmtId="0" fontId="2" fillId="0" borderId="2" xfId="51" applyFont="1" applyBorder="1" applyAlignment="1">
      <alignment vertical="center" wrapText="1"/>
    </xf>
    <xf numFmtId="0" fontId="1" fillId="0" borderId="3" xfId="51" applyBorder="1"/>
    <xf numFmtId="37" fontId="2" fillId="0" borderId="0" xfId="51" applyNumberFormat="1" applyFont="1" applyAlignment="1">
      <alignment vertical="center"/>
    </xf>
    <xf numFmtId="0" fontId="2" fillId="0" borderId="4" xfId="51" applyFont="1" applyBorder="1" applyAlignment="1">
      <alignment vertical="center"/>
    </xf>
    <xf numFmtId="37" fontId="6" fillId="0" borderId="0" xfId="49" applyNumberFormat="1" applyFont="1" applyFill="1" applyBorder="1" applyAlignment="1">
      <alignment vertical="center"/>
    </xf>
    <xf numFmtId="0" fontId="7" fillId="0" borderId="0" xfId="51" applyFont="1" applyAlignment="1">
      <alignment horizontal="center" vertical="center"/>
    </xf>
    <xf numFmtId="0" fontId="4" fillId="0" borderId="0" xfId="51" applyFont="1" applyAlignment="1">
      <alignment horizontal="center" vertical="center"/>
    </xf>
    <xf numFmtId="37" fontId="6" fillId="0" borderId="0" xfId="49" applyNumberFormat="1" applyFont="1" applyFill="1" applyBorder="1" applyAlignment="1">
      <alignment horizontal="right" vertical="center"/>
    </xf>
    <xf numFmtId="0" fontId="7" fillId="0" borderId="0" xfId="51" applyFont="1" applyAlignment="1">
      <alignment horizontal="center" vertical="center" wrapText="1"/>
    </xf>
    <xf numFmtId="0" fontId="2" fillId="0" borderId="0" xfId="51" applyFont="1" applyAlignment="1">
      <alignment horizontal="center" vertical="center"/>
    </xf>
    <xf numFmtId="0" fontId="7" fillId="0" borderId="0" xfId="51" applyFont="1" applyAlignment="1">
      <alignment vertical="center" wrapText="1"/>
    </xf>
    <xf numFmtId="0" fontId="2" fillId="0" borderId="0" xfId="51" applyFont="1" applyAlignment="1">
      <alignment horizontal="center"/>
    </xf>
    <xf numFmtId="0" fontId="8" fillId="0" borderId="0" xfId="51" applyFont="1" applyAlignment="1">
      <alignment horizontal="left" vertical="center"/>
    </xf>
    <xf numFmtId="0" fontId="9" fillId="0" borderId="0" xfId="51" applyFont="1" applyAlignment="1">
      <alignment horizontal="center" vertical="center"/>
    </xf>
    <xf numFmtId="0" fontId="9" fillId="0" borderId="0" xfId="51" applyFont="1" applyAlignment="1">
      <alignment horizontal="left" vertical="center"/>
    </xf>
    <xf numFmtId="0" fontId="9" fillId="0" borderId="0" xfId="51" applyFont="1" applyAlignment="1">
      <alignment horizontal="center"/>
    </xf>
    <xf numFmtId="49" fontId="2" fillId="0" borderId="0" xfId="49" applyNumberFormat="1" applyFont="1" applyAlignment="1">
      <alignment vertical="center"/>
    </xf>
    <xf numFmtId="0" fontId="1" fillId="4" borderId="0" xfId="51" applyFill="1"/>
    <xf numFmtId="49" fontId="2" fillId="0" borderId="0" xfId="49" applyNumberFormat="1" applyFont="1" applyFill="1" applyBorder="1" applyAlignment="1">
      <alignment horizontal="center" vertical="center"/>
    </xf>
    <xf numFmtId="0" fontId="10" fillId="0" borderId="0" xfId="0" applyFont="1" applyFill="1" applyAlignment="1"/>
    <xf numFmtId="0" fontId="6" fillId="3" borderId="0" xfId="5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12" fillId="0" borderId="2" xfId="0" applyFont="1" applyBorder="1"/>
    <xf numFmtId="0" fontId="12" fillId="3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178" fontId="12" fillId="3" borderId="2" xfId="4" applyFont="1" applyFill="1" applyBorder="1"/>
    <xf numFmtId="178" fontId="12" fillId="0" borderId="2" xfId="4" applyFont="1" applyBorder="1"/>
    <xf numFmtId="0" fontId="10" fillId="0" borderId="2" xfId="0" applyFont="1" applyFill="1" applyBorder="1" applyAlignment="1">
      <alignment horizontal="center"/>
    </xf>
    <xf numFmtId="0" fontId="14" fillId="3" borderId="2" xfId="0" applyFont="1" applyFill="1" applyBorder="1" applyAlignment="1"/>
    <xf numFmtId="0" fontId="14" fillId="3" borderId="2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178" fontId="14" fillId="3" borderId="2" xfId="4" applyFont="1" applyFill="1" applyBorder="1"/>
    <xf numFmtId="0" fontId="10" fillId="0" borderId="2" xfId="0" applyFont="1" applyFill="1" applyBorder="1" applyAlignment="1"/>
    <xf numFmtId="0" fontId="10" fillId="0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178" fontId="14" fillId="3" borderId="0" xfId="4" applyFont="1" applyFill="1"/>
    <xf numFmtId="0" fontId="15" fillId="0" borderId="2" xfId="51" applyFont="1" applyFill="1" applyBorder="1" applyAlignment="1">
      <alignment horizontal="center" vertical="center" wrapText="1"/>
    </xf>
    <xf numFmtId="0" fontId="15" fillId="3" borderId="2" xfId="51" applyFont="1" applyFill="1" applyBorder="1" applyAlignment="1">
      <alignment horizontal="left" vertical="center"/>
    </xf>
    <xf numFmtId="0" fontId="15" fillId="3" borderId="2" xfId="51" applyNumberFormat="1" applyFont="1" applyFill="1" applyBorder="1" applyAlignment="1">
      <alignment vertical="center"/>
    </xf>
    <xf numFmtId="0" fontId="15" fillId="3" borderId="2" xfId="51" applyFont="1" applyFill="1" applyBorder="1" applyAlignment="1">
      <alignment horizontal="center" vertical="center" wrapText="1"/>
    </xf>
    <xf numFmtId="178" fontId="15" fillId="3" borderId="2" xfId="51" applyNumberFormat="1" applyFont="1" applyFill="1" applyBorder="1" applyAlignment="1">
      <alignment horizontal="center" vertical="center"/>
    </xf>
    <xf numFmtId="37" fontId="15" fillId="3" borderId="2" xfId="49" applyNumberFormat="1" applyFont="1" applyFill="1" applyBorder="1" applyAlignment="1">
      <alignment vertical="center"/>
    </xf>
    <xf numFmtId="37" fontId="15" fillId="3" borderId="2" xfId="52" applyNumberFormat="1" applyFont="1" applyFill="1" applyBorder="1" applyAlignment="1">
      <alignment vertical="center"/>
    </xf>
    <xf numFmtId="0" fontId="0" fillId="0" borderId="2" xfId="0" applyBorder="1"/>
    <xf numFmtId="0" fontId="16" fillId="3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80" fontId="12" fillId="3" borderId="2" xfId="1" applyNumberFormat="1" applyFont="1" applyFill="1" applyBorder="1" applyAlignment="1">
      <alignment horizontal="center"/>
    </xf>
    <xf numFmtId="178" fontId="18" fillId="0" borderId="2" xfId="4" applyFont="1" applyBorder="1"/>
    <xf numFmtId="178" fontId="14" fillId="0" borderId="2" xfId="4" applyFont="1" applyBorder="1"/>
    <xf numFmtId="180" fontId="14" fillId="3" borderId="2" xfId="1" applyNumberFormat="1" applyFont="1" applyFill="1" applyBorder="1" applyAlignment="1">
      <alignment horizontal="center" vertical="center"/>
    </xf>
    <xf numFmtId="178" fontId="14" fillId="0" borderId="0" xfId="4" applyFont="1"/>
    <xf numFmtId="180" fontId="14" fillId="3" borderId="0" xfId="1" applyNumberFormat="1" applyFont="1" applyFill="1" applyAlignment="1">
      <alignment horizontal="center" vertical="center"/>
    </xf>
    <xf numFmtId="37" fontId="15" fillId="3" borderId="2" xfId="49" applyNumberFormat="1" applyFont="1" applyFill="1" applyBorder="1" applyAlignment="1">
      <alignment vertical="center" wrapText="1"/>
    </xf>
    <xf numFmtId="181" fontId="19" fillId="3" borderId="2" xfId="52" applyNumberFormat="1" applyFont="1" applyFill="1" applyBorder="1" applyAlignment="1">
      <alignment horizontal="center" vertical="center" wrapText="1"/>
    </xf>
    <xf numFmtId="37" fontId="15" fillId="3" borderId="2" xfId="52" applyNumberFormat="1" applyFont="1" applyFill="1" applyBorder="1" applyAlignment="1">
      <alignment vertical="center" wrapText="1"/>
    </xf>
    <xf numFmtId="181" fontId="15" fillId="3" borderId="2" xfId="52" applyNumberFormat="1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178" fontId="20" fillId="3" borderId="2" xfId="4" applyFont="1" applyFill="1" applyBorder="1"/>
    <xf numFmtId="0" fontId="14" fillId="0" borderId="2" xfId="0" applyFont="1" applyFill="1" applyBorder="1" applyAlignment="1"/>
    <xf numFmtId="0" fontId="14" fillId="0" borderId="0" xfId="0" applyFont="1" applyFill="1" applyAlignment="1"/>
    <xf numFmtId="37" fontId="15" fillId="3" borderId="2" xfId="52" applyNumberFormat="1" applyFont="1" applyFill="1" applyBorder="1" applyAlignment="1">
      <alignment horizontal="right" vertical="center" wrapText="1"/>
    </xf>
    <xf numFmtId="0" fontId="6" fillId="3" borderId="2" xfId="51" applyFont="1" applyFill="1" applyBorder="1" applyAlignment="1">
      <alignment horizontal="center" vertical="center" wrapText="1"/>
    </xf>
    <xf numFmtId="181" fontId="15" fillId="3" borderId="2" xfId="1" applyNumberFormat="1" applyFont="1" applyFill="1" applyBorder="1" applyAlignment="1">
      <alignment horizontal="center" vertical="center" wrapText="1"/>
    </xf>
    <xf numFmtId="178" fontId="12" fillId="0" borderId="2" xfId="0" applyNumberFormat="1" applyFont="1" applyBorder="1"/>
    <xf numFmtId="181" fontId="20" fillId="0" borderId="2" xfId="1" applyNumberFormat="1" applyFont="1" applyBorder="1"/>
    <xf numFmtId="41" fontId="12" fillId="0" borderId="2" xfId="4" applyNumberFormat="1" applyFont="1" applyBorder="1"/>
    <xf numFmtId="178" fontId="14" fillId="0" borderId="2" xfId="0" applyNumberFormat="1" applyFont="1" applyFill="1" applyBorder="1" applyAlignment="1"/>
    <xf numFmtId="181" fontId="21" fillId="0" borderId="2" xfId="1" applyNumberFormat="1" applyFont="1" applyBorder="1"/>
    <xf numFmtId="41" fontId="14" fillId="0" borderId="2" xfId="4" applyNumberFormat="1" applyFont="1" applyBorder="1"/>
    <xf numFmtId="178" fontId="14" fillId="0" borderId="0" xfId="0" applyNumberFormat="1" applyFont="1" applyFill="1" applyAlignment="1"/>
    <xf numFmtId="181" fontId="21" fillId="0" borderId="0" xfId="1" applyNumberFormat="1" applyFont="1"/>
    <xf numFmtId="41" fontId="14" fillId="0" borderId="0" xfId="4" applyNumberFormat="1" applyFont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2 2" xfId="51"/>
    <cellStyle name="Comma 12 2" xfId="52"/>
  </cellStyles>
  <tableStyles count="0" defaultTableStyle="TableStyleMedium2" defaultPivotStyle="PivotStyleLight16"/>
  <colors>
    <mruColors>
      <color rgb="00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JI%20%202019-2020\2.%20Okt%202019\Gaji%20Dosen%20Tetap%20dan%20Tendik%20Okt%202019\2.%20Rekap%20gj%20Tendik%20Okt'19%20rev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k%20teti\Backup\Data%20Keuangan\GAJI%202022-2023\Gaji%20September%202022\2.%20Gaji%20Tendik%20Sept%20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ndik nk"/>
      <sheetName val="PTY"/>
      <sheetName val="PK"/>
      <sheetName val="payroll Gaji"/>
      <sheetName val="Tendik Okt 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Zulfikar</v>
          </cell>
        </row>
        <row r="11">
          <cell r="B11" t="str">
            <v>Nicky Nia Gustriani</v>
          </cell>
        </row>
        <row r="12">
          <cell r="B12" t="str">
            <v>Kartini Sari</v>
          </cell>
        </row>
        <row r="14">
          <cell r="B14" t="str">
            <v>Siti Sartika Oktavia</v>
          </cell>
        </row>
        <row r="17">
          <cell r="B17" t="str">
            <v>Alfauzal</v>
          </cell>
        </row>
        <row r="19">
          <cell r="B19" t="str">
            <v>Muhammad Iqbal</v>
          </cell>
        </row>
        <row r="21">
          <cell r="B21" t="str">
            <v>Beni Adrian</v>
          </cell>
        </row>
        <row r="24">
          <cell r="B24" t="str">
            <v>Amriadi 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Sheet2"/>
      <sheetName val="Payrol"/>
      <sheetName val="Sheet1"/>
      <sheetName val="Sheet3"/>
      <sheetName val="Sheet4"/>
    </sheetNames>
    <sheetDataSet>
      <sheetData sheetId="0">
        <row r="8">
          <cell r="A8" t="str">
            <v>Halida, A.Md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"/>
  <sheetViews>
    <sheetView tabSelected="1" zoomScalePageLayoutView="90" workbookViewId="0">
      <pane xSplit="5" ySplit="1" topLeftCell="F2" activePane="bottomRight" state="frozen"/>
      <selection/>
      <selection pane="topRight"/>
      <selection pane="bottomLeft"/>
      <selection pane="bottomRight" activeCell="Q9" sqref="Q9"/>
    </sheetView>
  </sheetViews>
  <sheetFormatPr defaultColWidth="9" defaultRowHeight="15" outlineLevelRow="7"/>
  <cols>
    <col min="1" max="1" width="3.85714285714286" customWidth="1"/>
    <col min="2" max="2" width="19" customWidth="1"/>
    <col min="3" max="3" width="17" customWidth="1"/>
    <col min="4" max="5" width="5.28571428571429" customWidth="1"/>
    <col min="6" max="6" width="5.28571428571429" style="39" customWidth="1"/>
    <col min="7" max="8" width="9.85714285714286" customWidth="1"/>
    <col min="9" max="9" width="9.57142857142857" customWidth="1"/>
    <col min="10" max="10" width="8.28571428571429" customWidth="1"/>
    <col min="11" max="11" width="9.28571428571429" customWidth="1"/>
    <col min="12" max="12" width="7.71428571428571" customWidth="1"/>
    <col min="13" max="13" width="7.14285714285714" customWidth="1"/>
    <col min="14" max="14" width="11" customWidth="1"/>
    <col min="15" max="15" width="8.71428571428571" customWidth="1"/>
    <col min="16" max="16" width="10.1428571428571" customWidth="1"/>
    <col min="17" max="17" width="7.42857142857143" customWidth="1"/>
    <col min="18" max="19" width="7.57142857142857" customWidth="1"/>
    <col min="20" max="20" width="8" customWidth="1"/>
    <col min="21" max="21" width="7.42857142857143" customWidth="1"/>
    <col min="22" max="22" width="8.71428571428571" customWidth="1"/>
    <col min="23" max="23" width="9.85714285714286" customWidth="1"/>
    <col min="24" max="24" width="3.28571428571429" customWidth="1"/>
    <col min="25" max="25" width="8.71428571428571" customWidth="1"/>
    <col min="26" max="26" width="6.71428571428571" customWidth="1"/>
    <col min="27" max="27" width="9.14285714285714" customWidth="1"/>
    <col min="28" max="29" width="10.1428571428571" customWidth="1"/>
  </cols>
  <sheetData>
    <row r="1" ht="62.25" customHeight="1" spans="1:28">
      <c r="A1" s="40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H1" s="43" t="s">
        <v>7</v>
      </c>
      <c r="I1" s="76" t="s">
        <v>8</v>
      </c>
      <c r="J1" s="77" t="s">
        <v>9</v>
      </c>
      <c r="K1" s="78" t="s">
        <v>10</v>
      </c>
      <c r="L1" s="79" t="s">
        <v>11</v>
      </c>
      <c r="M1" s="79" t="s">
        <v>12</v>
      </c>
      <c r="N1" s="79" t="s">
        <v>13</v>
      </c>
      <c r="O1" s="80" t="s">
        <v>14</v>
      </c>
      <c r="P1" s="80" t="s">
        <v>15</v>
      </c>
      <c r="Q1" s="76" t="s">
        <v>16</v>
      </c>
      <c r="R1" s="79" t="s">
        <v>12</v>
      </c>
      <c r="S1" s="79" t="s">
        <v>17</v>
      </c>
      <c r="T1" s="92" t="s">
        <v>18</v>
      </c>
      <c r="U1" s="92" t="s">
        <v>19</v>
      </c>
      <c r="V1" s="92" t="s">
        <v>20</v>
      </c>
      <c r="W1" s="79" t="s">
        <v>21</v>
      </c>
      <c r="X1" s="77" t="s">
        <v>22</v>
      </c>
      <c r="Y1" s="53" t="s">
        <v>23</v>
      </c>
      <c r="Z1" s="80" t="s">
        <v>24</v>
      </c>
      <c r="AA1" s="53" t="s">
        <v>25</v>
      </c>
      <c r="AB1" s="53" t="s">
        <v>26</v>
      </c>
    </row>
    <row r="2" ht="16" customHeight="1" spans="1:28">
      <c r="A2" s="44" t="s">
        <v>27</v>
      </c>
      <c r="B2" s="45"/>
      <c r="C2" s="46"/>
      <c r="D2" s="47"/>
      <c r="E2" s="48"/>
      <c r="F2" s="47"/>
      <c r="G2" s="47"/>
      <c r="H2" s="43"/>
      <c r="I2" s="81"/>
      <c r="J2" s="77"/>
      <c r="K2" s="78"/>
      <c r="L2" s="79"/>
      <c r="M2" s="79"/>
      <c r="N2" s="79"/>
      <c r="O2" s="80"/>
      <c r="P2" s="80"/>
      <c r="Q2" s="76"/>
      <c r="R2" s="79"/>
      <c r="S2" s="79"/>
      <c r="T2" s="92"/>
      <c r="U2" s="92"/>
      <c r="V2" s="92"/>
      <c r="W2" s="79"/>
      <c r="X2" s="77"/>
      <c r="Y2" s="53"/>
      <c r="Z2" s="80"/>
      <c r="AA2" s="53"/>
      <c r="AB2" s="53"/>
    </row>
    <row r="3" ht="20.25" customHeight="1" spans="1:28">
      <c r="A3" s="49">
        <v>1</v>
      </c>
      <c r="B3" s="50" t="s">
        <v>28</v>
      </c>
      <c r="C3" s="50" t="s">
        <v>29</v>
      </c>
      <c r="D3" s="51">
        <v>26</v>
      </c>
      <c r="E3" s="52" t="s">
        <v>30</v>
      </c>
      <c r="F3" s="53">
        <v>14</v>
      </c>
      <c r="G3" s="54">
        <v>1920000</v>
      </c>
      <c r="H3" s="55">
        <v>1900000</v>
      </c>
      <c r="I3" s="73"/>
      <c r="J3" s="82">
        <v>500000</v>
      </c>
      <c r="K3" s="55">
        <f>10%*G3</f>
        <v>192000</v>
      </c>
      <c r="L3" s="83">
        <f>2%*G3*2</f>
        <v>76800</v>
      </c>
      <c r="M3" s="55">
        <v>0</v>
      </c>
      <c r="N3" s="54">
        <f>(545000/25)*D3</f>
        <v>566800</v>
      </c>
      <c r="O3" s="55">
        <v>0</v>
      </c>
      <c r="P3" s="55">
        <f>SUM(G3:O3)</f>
        <v>5155600</v>
      </c>
      <c r="Q3" s="55"/>
      <c r="R3" s="55">
        <v>86072</v>
      </c>
      <c r="S3" s="55">
        <v>40600</v>
      </c>
      <c r="T3" s="55">
        <v>0</v>
      </c>
      <c r="U3" s="55">
        <v>20000</v>
      </c>
      <c r="V3" s="55">
        <v>30000</v>
      </c>
      <c r="W3" s="93">
        <v>1104166</v>
      </c>
      <c r="X3" s="50"/>
      <c r="Y3" s="99">
        <f>Q3+R3+S3+T3+U3+V3+W3+X3</f>
        <v>1280838</v>
      </c>
      <c r="Z3" s="100"/>
      <c r="AA3" s="101"/>
      <c r="AB3" s="99">
        <f>P3-Y3+Z3+AA3</f>
        <v>3874762</v>
      </c>
    </row>
    <row r="4" s="37" customFormat="1" spans="1:38">
      <c r="A4" s="56">
        <v>2</v>
      </c>
      <c r="B4" s="57" t="s">
        <v>31</v>
      </c>
      <c r="C4" s="57" t="s">
        <v>32</v>
      </c>
      <c r="D4" s="58">
        <v>26</v>
      </c>
      <c r="E4" s="58" t="s">
        <v>33</v>
      </c>
      <c r="F4" s="59">
        <v>12</v>
      </c>
      <c r="G4" s="60">
        <v>1770000</v>
      </c>
      <c r="H4" s="61"/>
      <c r="I4" s="84">
        <v>350000</v>
      </c>
      <c r="J4" s="85">
        <v>450000</v>
      </c>
      <c r="K4" s="84"/>
      <c r="L4" s="84"/>
      <c r="M4" s="84"/>
      <c r="N4" s="60">
        <f>(375000/25)*D4</f>
        <v>390000</v>
      </c>
      <c r="O4" s="84">
        <v>0</v>
      </c>
      <c r="P4" s="84">
        <f>SUM(G4:O4)</f>
        <v>2960000</v>
      </c>
      <c r="Q4" s="84"/>
      <c r="R4" s="84"/>
      <c r="S4" s="84"/>
      <c r="T4" s="94"/>
      <c r="U4" s="84">
        <v>20000</v>
      </c>
      <c r="V4" s="94"/>
      <c r="W4" s="94"/>
      <c r="X4" s="94"/>
      <c r="Y4" s="102">
        <f>Q4+R4+S4+T4+U4+V4+W4+X4</f>
        <v>20000</v>
      </c>
      <c r="Z4" s="103"/>
      <c r="AA4" s="104"/>
      <c r="AB4" s="102">
        <f>P4-Y4+Z4+AA4</f>
        <v>2940000</v>
      </c>
      <c r="AL4" s="37" t="s">
        <v>34</v>
      </c>
    </row>
    <row r="5" s="37" customFormat="1" spans="1:28">
      <c r="A5" s="62" t="s">
        <v>35</v>
      </c>
      <c r="B5" s="62"/>
      <c r="C5" s="62"/>
      <c r="D5" s="63"/>
      <c r="E5" s="63"/>
      <c r="F5" s="64"/>
      <c r="G5" s="65"/>
      <c r="I5" s="86"/>
      <c r="J5" s="87"/>
      <c r="K5" s="86"/>
      <c r="L5" s="86"/>
      <c r="M5" s="86"/>
      <c r="N5" s="65"/>
      <c r="O5" s="86"/>
      <c r="P5" s="84">
        <f>SUM(G5:O5)</f>
        <v>0</v>
      </c>
      <c r="Q5" s="86"/>
      <c r="R5" s="86"/>
      <c r="S5" s="86"/>
      <c r="T5" s="95"/>
      <c r="U5" s="86"/>
      <c r="V5" s="95"/>
      <c r="W5" s="95"/>
      <c r="X5" s="95"/>
      <c r="Y5" s="105"/>
      <c r="Z5" s="106"/>
      <c r="AA5" s="107"/>
      <c r="AB5" s="102">
        <f>P5-Y5+Z5+AA5</f>
        <v>0</v>
      </c>
    </row>
    <row r="6" s="38" customFormat="1" ht="12.95" customHeight="1" spans="1:28">
      <c r="A6" s="66">
        <v>1</v>
      </c>
      <c r="B6" s="67" t="s">
        <v>36</v>
      </c>
      <c r="C6" s="68" t="s">
        <v>37</v>
      </c>
      <c r="D6" s="69">
        <v>26</v>
      </c>
      <c r="E6" s="68" t="s">
        <v>30</v>
      </c>
      <c r="F6" s="70">
        <v>3</v>
      </c>
      <c r="G6" s="71">
        <v>1560000</v>
      </c>
      <c r="H6" s="72">
        <v>1400000</v>
      </c>
      <c r="I6" s="72">
        <v>350000</v>
      </c>
      <c r="J6" s="88">
        <v>250000</v>
      </c>
      <c r="K6" s="89">
        <f>10%*G6</f>
        <v>156000</v>
      </c>
      <c r="L6" s="89">
        <f>2%*G6*3</f>
        <v>93600</v>
      </c>
      <c r="M6" s="90"/>
      <c r="N6" s="90">
        <v>566800</v>
      </c>
      <c r="O6" s="90"/>
      <c r="P6" s="84">
        <f>SUM(G6:O6)</f>
        <v>4376400</v>
      </c>
      <c r="Q6" s="96">
        <v>0</v>
      </c>
      <c r="R6" s="88">
        <v>0</v>
      </c>
      <c r="S6" s="88">
        <v>0</v>
      </c>
      <c r="T6" s="90">
        <v>0</v>
      </c>
      <c r="U6" s="91">
        <v>20000</v>
      </c>
      <c r="V6" s="97"/>
      <c r="W6" s="91">
        <v>0</v>
      </c>
      <c r="X6" s="98"/>
      <c r="Y6" s="90">
        <v>30000</v>
      </c>
      <c r="Z6" s="72"/>
      <c r="AA6" s="90"/>
      <c r="AB6" s="102">
        <f>P6-Y6+Z6+AA6</f>
        <v>4346400</v>
      </c>
    </row>
    <row r="7" spans="1:28">
      <c r="A7" s="73">
        <v>2</v>
      </c>
      <c r="B7" s="74" t="s">
        <v>38</v>
      </c>
      <c r="C7" s="68" t="s">
        <v>39</v>
      </c>
      <c r="D7" s="69">
        <v>26</v>
      </c>
      <c r="E7" s="68" t="s">
        <v>30</v>
      </c>
      <c r="F7" s="70">
        <v>2</v>
      </c>
      <c r="G7" s="71">
        <v>1560000</v>
      </c>
      <c r="H7" s="73"/>
      <c r="I7" s="72">
        <v>350000</v>
      </c>
      <c r="J7" s="88">
        <v>250000</v>
      </c>
      <c r="K7" s="73">
        <v>0</v>
      </c>
      <c r="L7" s="73">
        <v>0</v>
      </c>
      <c r="M7" s="73">
        <v>0</v>
      </c>
      <c r="N7" s="91">
        <v>390000</v>
      </c>
      <c r="O7" s="73"/>
      <c r="P7" s="84">
        <f>SUM(G7:O7)</f>
        <v>2550000</v>
      </c>
      <c r="Q7" s="73"/>
      <c r="R7" s="73"/>
      <c r="S7" s="73"/>
      <c r="T7" s="73"/>
      <c r="U7" s="91">
        <v>20000</v>
      </c>
      <c r="V7" s="73"/>
      <c r="W7" s="73"/>
      <c r="X7" s="73"/>
      <c r="Y7" s="73"/>
      <c r="Z7" s="73"/>
      <c r="AA7" s="73"/>
      <c r="AB7" s="102">
        <f>P7-Y7+Z7+AA7</f>
        <v>2550000</v>
      </c>
    </row>
    <row r="8" spans="1:28">
      <c r="A8" s="73"/>
      <c r="B8" s="73"/>
      <c r="C8" s="73"/>
      <c r="D8" s="73"/>
      <c r="E8" s="73"/>
      <c r="F8" s="75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</sheetData>
  <mergeCells count="2">
    <mergeCell ref="A2:C2"/>
    <mergeCell ref="A5:C5"/>
  </mergeCells>
  <pageMargins left="0.31496062992126" right="0" top="0.748031496062992" bottom="0.551181102362205" header="0.31496062992126" footer="0.31496062992126"/>
  <pageSetup paperSize="5" scale="80" orientation="landscape"/>
  <headerFooter>
    <oddHeader>&amp;C&amp;14Rekap Gaji Tendik Universitas Adzkia 
Agustus 2025
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workbookViewId="0">
      <selection activeCell="B36" sqref="B36"/>
    </sheetView>
  </sheetViews>
  <sheetFormatPr defaultColWidth="11.5714285714286" defaultRowHeight="14.25"/>
  <cols>
    <col min="1" max="1" width="22.2857142857143" style="3" customWidth="1"/>
    <col min="2" max="2" width="14.8571428571429" style="4" customWidth="1"/>
    <col min="3" max="3" width="26.4285714285714" style="4" customWidth="1"/>
    <col min="4" max="4" width="16.1428571428571" style="4" customWidth="1"/>
    <col min="5" max="5" width="8.42857142857143" style="4" customWidth="1"/>
    <col min="6" max="6" width="33" style="4" customWidth="1"/>
    <col min="7" max="7" width="11.5714285714286" style="5"/>
    <col min="8" max="8" width="16.2857142857143" style="5" customWidth="1"/>
    <col min="9" max="9" width="18.1428571428571" style="5" customWidth="1"/>
    <col min="10" max="230" width="11.5714285714286" style="5"/>
    <col min="231" max="231" width="15.2857142857143" style="5" customWidth="1"/>
    <col min="232" max="232" width="10.1428571428571" style="5" customWidth="1"/>
    <col min="233" max="233" width="25.4285714285714" style="5" customWidth="1"/>
    <col min="234" max="234" width="12.5714285714286" style="5" customWidth="1"/>
    <col min="235" max="235" width="10.7142857142857" style="5" customWidth="1"/>
    <col min="236" max="236" width="15.7142857142857" style="5" customWidth="1"/>
    <col min="237" max="237" width="8.85714285714286" style="5" customWidth="1"/>
    <col min="238" max="238" width="5.14285714285714" style="5" customWidth="1"/>
    <col min="239" max="486" width="11.5714285714286" style="5"/>
    <col min="487" max="487" width="15.2857142857143" style="5" customWidth="1"/>
    <col min="488" max="488" width="10.1428571428571" style="5" customWidth="1"/>
    <col min="489" max="489" width="25.4285714285714" style="5" customWidth="1"/>
    <col min="490" max="490" width="12.5714285714286" style="5" customWidth="1"/>
    <col min="491" max="491" width="10.7142857142857" style="5" customWidth="1"/>
    <col min="492" max="492" width="15.7142857142857" style="5" customWidth="1"/>
    <col min="493" max="493" width="8.85714285714286" style="5" customWidth="1"/>
    <col min="494" max="494" width="5.14285714285714" style="5" customWidth="1"/>
    <col min="495" max="742" width="11.5714285714286" style="5"/>
    <col min="743" max="743" width="15.2857142857143" style="5" customWidth="1"/>
    <col min="744" max="744" width="10.1428571428571" style="5" customWidth="1"/>
    <col min="745" max="745" width="25.4285714285714" style="5" customWidth="1"/>
    <col min="746" max="746" width="12.5714285714286" style="5" customWidth="1"/>
    <col min="747" max="747" width="10.7142857142857" style="5" customWidth="1"/>
    <col min="748" max="748" width="15.7142857142857" style="5" customWidth="1"/>
    <col min="749" max="749" width="8.85714285714286" style="5" customWidth="1"/>
    <col min="750" max="750" width="5.14285714285714" style="5" customWidth="1"/>
    <col min="751" max="998" width="11.5714285714286" style="5"/>
    <col min="999" max="999" width="15.2857142857143" style="5" customWidth="1"/>
    <col min="1000" max="1000" width="10.1428571428571" style="5" customWidth="1"/>
    <col min="1001" max="1001" width="25.4285714285714" style="5" customWidth="1"/>
    <col min="1002" max="1002" width="12.5714285714286" style="5" customWidth="1"/>
    <col min="1003" max="1003" width="10.7142857142857" style="5" customWidth="1"/>
    <col min="1004" max="1004" width="15.7142857142857" style="5" customWidth="1"/>
    <col min="1005" max="1005" width="8.85714285714286" style="5" customWidth="1"/>
    <col min="1006" max="1006" width="5.14285714285714" style="5" customWidth="1"/>
    <col min="1007" max="1254" width="11.5714285714286" style="5"/>
    <col min="1255" max="1255" width="15.2857142857143" style="5" customWidth="1"/>
    <col min="1256" max="1256" width="10.1428571428571" style="5" customWidth="1"/>
    <col min="1257" max="1257" width="25.4285714285714" style="5" customWidth="1"/>
    <col min="1258" max="1258" width="12.5714285714286" style="5" customWidth="1"/>
    <col min="1259" max="1259" width="10.7142857142857" style="5" customWidth="1"/>
    <col min="1260" max="1260" width="15.7142857142857" style="5" customWidth="1"/>
    <col min="1261" max="1261" width="8.85714285714286" style="5" customWidth="1"/>
    <col min="1262" max="1262" width="5.14285714285714" style="5" customWidth="1"/>
    <col min="1263" max="1510" width="11.5714285714286" style="5"/>
    <col min="1511" max="1511" width="15.2857142857143" style="5" customWidth="1"/>
    <col min="1512" max="1512" width="10.1428571428571" style="5" customWidth="1"/>
    <col min="1513" max="1513" width="25.4285714285714" style="5" customWidth="1"/>
    <col min="1514" max="1514" width="12.5714285714286" style="5" customWidth="1"/>
    <col min="1515" max="1515" width="10.7142857142857" style="5" customWidth="1"/>
    <col min="1516" max="1516" width="15.7142857142857" style="5" customWidth="1"/>
    <col min="1517" max="1517" width="8.85714285714286" style="5" customWidth="1"/>
    <col min="1518" max="1518" width="5.14285714285714" style="5" customWidth="1"/>
    <col min="1519" max="1766" width="11.5714285714286" style="5"/>
    <col min="1767" max="1767" width="15.2857142857143" style="5" customWidth="1"/>
    <col min="1768" max="1768" width="10.1428571428571" style="5" customWidth="1"/>
    <col min="1769" max="1769" width="25.4285714285714" style="5" customWidth="1"/>
    <col min="1770" max="1770" width="12.5714285714286" style="5" customWidth="1"/>
    <col min="1771" max="1771" width="10.7142857142857" style="5" customWidth="1"/>
    <col min="1772" max="1772" width="15.7142857142857" style="5" customWidth="1"/>
    <col min="1773" max="1773" width="8.85714285714286" style="5" customWidth="1"/>
    <col min="1774" max="1774" width="5.14285714285714" style="5" customWidth="1"/>
    <col min="1775" max="2022" width="11.5714285714286" style="5"/>
    <col min="2023" max="2023" width="15.2857142857143" style="5" customWidth="1"/>
    <col min="2024" max="2024" width="10.1428571428571" style="5" customWidth="1"/>
    <col min="2025" max="2025" width="25.4285714285714" style="5" customWidth="1"/>
    <col min="2026" max="2026" width="12.5714285714286" style="5" customWidth="1"/>
    <col min="2027" max="2027" width="10.7142857142857" style="5" customWidth="1"/>
    <col min="2028" max="2028" width="15.7142857142857" style="5" customWidth="1"/>
    <col min="2029" max="2029" width="8.85714285714286" style="5" customWidth="1"/>
    <col min="2030" max="2030" width="5.14285714285714" style="5" customWidth="1"/>
    <col min="2031" max="2278" width="11.5714285714286" style="5"/>
    <col min="2279" max="2279" width="15.2857142857143" style="5" customWidth="1"/>
    <col min="2280" max="2280" width="10.1428571428571" style="5" customWidth="1"/>
    <col min="2281" max="2281" width="25.4285714285714" style="5" customWidth="1"/>
    <col min="2282" max="2282" width="12.5714285714286" style="5" customWidth="1"/>
    <col min="2283" max="2283" width="10.7142857142857" style="5" customWidth="1"/>
    <col min="2284" max="2284" width="15.7142857142857" style="5" customWidth="1"/>
    <col min="2285" max="2285" width="8.85714285714286" style="5" customWidth="1"/>
    <col min="2286" max="2286" width="5.14285714285714" style="5" customWidth="1"/>
    <col min="2287" max="2534" width="11.5714285714286" style="5"/>
    <col min="2535" max="2535" width="15.2857142857143" style="5" customWidth="1"/>
    <col min="2536" max="2536" width="10.1428571428571" style="5" customWidth="1"/>
    <col min="2537" max="2537" width="25.4285714285714" style="5" customWidth="1"/>
    <col min="2538" max="2538" width="12.5714285714286" style="5" customWidth="1"/>
    <col min="2539" max="2539" width="10.7142857142857" style="5" customWidth="1"/>
    <col min="2540" max="2540" width="15.7142857142857" style="5" customWidth="1"/>
    <col min="2541" max="2541" width="8.85714285714286" style="5" customWidth="1"/>
    <col min="2542" max="2542" width="5.14285714285714" style="5" customWidth="1"/>
    <col min="2543" max="2790" width="11.5714285714286" style="5"/>
    <col min="2791" max="2791" width="15.2857142857143" style="5" customWidth="1"/>
    <col min="2792" max="2792" width="10.1428571428571" style="5" customWidth="1"/>
    <col min="2793" max="2793" width="25.4285714285714" style="5" customWidth="1"/>
    <col min="2794" max="2794" width="12.5714285714286" style="5" customWidth="1"/>
    <col min="2795" max="2795" width="10.7142857142857" style="5" customWidth="1"/>
    <col min="2796" max="2796" width="15.7142857142857" style="5" customWidth="1"/>
    <col min="2797" max="2797" width="8.85714285714286" style="5" customWidth="1"/>
    <col min="2798" max="2798" width="5.14285714285714" style="5" customWidth="1"/>
    <col min="2799" max="3046" width="11.5714285714286" style="5"/>
    <col min="3047" max="3047" width="15.2857142857143" style="5" customWidth="1"/>
    <col min="3048" max="3048" width="10.1428571428571" style="5" customWidth="1"/>
    <col min="3049" max="3049" width="25.4285714285714" style="5" customWidth="1"/>
    <col min="3050" max="3050" width="12.5714285714286" style="5" customWidth="1"/>
    <col min="3051" max="3051" width="10.7142857142857" style="5" customWidth="1"/>
    <col min="3052" max="3052" width="15.7142857142857" style="5" customWidth="1"/>
    <col min="3053" max="3053" width="8.85714285714286" style="5" customWidth="1"/>
    <col min="3054" max="3054" width="5.14285714285714" style="5" customWidth="1"/>
    <col min="3055" max="3302" width="11.5714285714286" style="5"/>
    <col min="3303" max="3303" width="15.2857142857143" style="5" customWidth="1"/>
    <col min="3304" max="3304" width="10.1428571428571" style="5" customWidth="1"/>
    <col min="3305" max="3305" width="25.4285714285714" style="5" customWidth="1"/>
    <col min="3306" max="3306" width="12.5714285714286" style="5" customWidth="1"/>
    <col min="3307" max="3307" width="10.7142857142857" style="5" customWidth="1"/>
    <col min="3308" max="3308" width="15.7142857142857" style="5" customWidth="1"/>
    <col min="3309" max="3309" width="8.85714285714286" style="5" customWidth="1"/>
    <col min="3310" max="3310" width="5.14285714285714" style="5" customWidth="1"/>
    <col min="3311" max="3558" width="11.5714285714286" style="5"/>
    <col min="3559" max="3559" width="15.2857142857143" style="5" customWidth="1"/>
    <col min="3560" max="3560" width="10.1428571428571" style="5" customWidth="1"/>
    <col min="3561" max="3561" width="25.4285714285714" style="5" customWidth="1"/>
    <col min="3562" max="3562" width="12.5714285714286" style="5" customWidth="1"/>
    <col min="3563" max="3563" width="10.7142857142857" style="5" customWidth="1"/>
    <col min="3564" max="3564" width="15.7142857142857" style="5" customWidth="1"/>
    <col min="3565" max="3565" width="8.85714285714286" style="5" customWidth="1"/>
    <col min="3566" max="3566" width="5.14285714285714" style="5" customWidth="1"/>
    <col min="3567" max="3814" width="11.5714285714286" style="5"/>
    <col min="3815" max="3815" width="15.2857142857143" style="5" customWidth="1"/>
    <col min="3816" max="3816" width="10.1428571428571" style="5" customWidth="1"/>
    <col min="3817" max="3817" width="25.4285714285714" style="5" customWidth="1"/>
    <col min="3818" max="3818" width="12.5714285714286" style="5" customWidth="1"/>
    <col min="3819" max="3819" width="10.7142857142857" style="5" customWidth="1"/>
    <col min="3820" max="3820" width="15.7142857142857" style="5" customWidth="1"/>
    <col min="3821" max="3821" width="8.85714285714286" style="5" customWidth="1"/>
    <col min="3822" max="3822" width="5.14285714285714" style="5" customWidth="1"/>
    <col min="3823" max="4070" width="11.5714285714286" style="5"/>
    <col min="4071" max="4071" width="15.2857142857143" style="5" customWidth="1"/>
    <col min="4072" max="4072" width="10.1428571428571" style="5" customWidth="1"/>
    <col min="4073" max="4073" width="25.4285714285714" style="5" customWidth="1"/>
    <col min="4074" max="4074" width="12.5714285714286" style="5" customWidth="1"/>
    <col min="4075" max="4075" width="10.7142857142857" style="5" customWidth="1"/>
    <col min="4076" max="4076" width="15.7142857142857" style="5" customWidth="1"/>
    <col min="4077" max="4077" width="8.85714285714286" style="5" customWidth="1"/>
    <col min="4078" max="4078" width="5.14285714285714" style="5" customWidth="1"/>
    <col min="4079" max="4326" width="11.5714285714286" style="5"/>
    <col min="4327" max="4327" width="15.2857142857143" style="5" customWidth="1"/>
    <col min="4328" max="4328" width="10.1428571428571" style="5" customWidth="1"/>
    <col min="4329" max="4329" width="25.4285714285714" style="5" customWidth="1"/>
    <col min="4330" max="4330" width="12.5714285714286" style="5" customWidth="1"/>
    <col min="4331" max="4331" width="10.7142857142857" style="5" customWidth="1"/>
    <col min="4332" max="4332" width="15.7142857142857" style="5" customWidth="1"/>
    <col min="4333" max="4333" width="8.85714285714286" style="5" customWidth="1"/>
    <col min="4334" max="4334" width="5.14285714285714" style="5" customWidth="1"/>
    <col min="4335" max="4582" width="11.5714285714286" style="5"/>
    <col min="4583" max="4583" width="15.2857142857143" style="5" customWidth="1"/>
    <col min="4584" max="4584" width="10.1428571428571" style="5" customWidth="1"/>
    <col min="4585" max="4585" width="25.4285714285714" style="5" customWidth="1"/>
    <col min="4586" max="4586" width="12.5714285714286" style="5" customWidth="1"/>
    <col min="4587" max="4587" width="10.7142857142857" style="5" customWidth="1"/>
    <col min="4588" max="4588" width="15.7142857142857" style="5" customWidth="1"/>
    <col min="4589" max="4589" width="8.85714285714286" style="5" customWidth="1"/>
    <col min="4590" max="4590" width="5.14285714285714" style="5" customWidth="1"/>
    <col min="4591" max="4838" width="11.5714285714286" style="5"/>
    <col min="4839" max="4839" width="15.2857142857143" style="5" customWidth="1"/>
    <col min="4840" max="4840" width="10.1428571428571" style="5" customWidth="1"/>
    <col min="4841" max="4841" width="25.4285714285714" style="5" customWidth="1"/>
    <col min="4842" max="4842" width="12.5714285714286" style="5" customWidth="1"/>
    <col min="4843" max="4843" width="10.7142857142857" style="5" customWidth="1"/>
    <col min="4844" max="4844" width="15.7142857142857" style="5" customWidth="1"/>
    <col min="4845" max="4845" width="8.85714285714286" style="5" customWidth="1"/>
    <col min="4846" max="4846" width="5.14285714285714" style="5" customWidth="1"/>
    <col min="4847" max="5094" width="11.5714285714286" style="5"/>
    <col min="5095" max="5095" width="15.2857142857143" style="5" customWidth="1"/>
    <col min="5096" max="5096" width="10.1428571428571" style="5" customWidth="1"/>
    <col min="5097" max="5097" width="25.4285714285714" style="5" customWidth="1"/>
    <col min="5098" max="5098" width="12.5714285714286" style="5" customWidth="1"/>
    <col min="5099" max="5099" width="10.7142857142857" style="5" customWidth="1"/>
    <col min="5100" max="5100" width="15.7142857142857" style="5" customWidth="1"/>
    <col min="5101" max="5101" width="8.85714285714286" style="5" customWidth="1"/>
    <col min="5102" max="5102" width="5.14285714285714" style="5" customWidth="1"/>
    <col min="5103" max="5350" width="11.5714285714286" style="5"/>
    <col min="5351" max="5351" width="15.2857142857143" style="5" customWidth="1"/>
    <col min="5352" max="5352" width="10.1428571428571" style="5" customWidth="1"/>
    <col min="5353" max="5353" width="25.4285714285714" style="5" customWidth="1"/>
    <col min="5354" max="5354" width="12.5714285714286" style="5" customWidth="1"/>
    <col min="5355" max="5355" width="10.7142857142857" style="5" customWidth="1"/>
    <col min="5356" max="5356" width="15.7142857142857" style="5" customWidth="1"/>
    <col min="5357" max="5357" width="8.85714285714286" style="5" customWidth="1"/>
    <col min="5358" max="5358" width="5.14285714285714" style="5" customWidth="1"/>
    <col min="5359" max="5606" width="11.5714285714286" style="5"/>
    <col min="5607" max="5607" width="15.2857142857143" style="5" customWidth="1"/>
    <col min="5608" max="5608" width="10.1428571428571" style="5" customWidth="1"/>
    <col min="5609" max="5609" width="25.4285714285714" style="5" customWidth="1"/>
    <col min="5610" max="5610" width="12.5714285714286" style="5" customWidth="1"/>
    <col min="5611" max="5611" width="10.7142857142857" style="5" customWidth="1"/>
    <col min="5612" max="5612" width="15.7142857142857" style="5" customWidth="1"/>
    <col min="5613" max="5613" width="8.85714285714286" style="5" customWidth="1"/>
    <col min="5614" max="5614" width="5.14285714285714" style="5" customWidth="1"/>
    <col min="5615" max="5862" width="11.5714285714286" style="5"/>
    <col min="5863" max="5863" width="15.2857142857143" style="5" customWidth="1"/>
    <col min="5864" max="5864" width="10.1428571428571" style="5" customWidth="1"/>
    <col min="5865" max="5865" width="25.4285714285714" style="5" customWidth="1"/>
    <col min="5866" max="5866" width="12.5714285714286" style="5" customWidth="1"/>
    <col min="5867" max="5867" width="10.7142857142857" style="5" customWidth="1"/>
    <col min="5868" max="5868" width="15.7142857142857" style="5" customWidth="1"/>
    <col min="5869" max="5869" width="8.85714285714286" style="5" customWidth="1"/>
    <col min="5870" max="5870" width="5.14285714285714" style="5" customWidth="1"/>
    <col min="5871" max="6118" width="11.5714285714286" style="5"/>
    <col min="6119" max="6119" width="15.2857142857143" style="5" customWidth="1"/>
    <col min="6120" max="6120" width="10.1428571428571" style="5" customWidth="1"/>
    <col min="6121" max="6121" width="25.4285714285714" style="5" customWidth="1"/>
    <col min="6122" max="6122" width="12.5714285714286" style="5" customWidth="1"/>
    <col min="6123" max="6123" width="10.7142857142857" style="5" customWidth="1"/>
    <col min="6124" max="6124" width="15.7142857142857" style="5" customWidth="1"/>
    <col min="6125" max="6125" width="8.85714285714286" style="5" customWidth="1"/>
    <col min="6126" max="6126" width="5.14285714285714" style="5" customWidth="1"/>
    <col min="6127" max="6374" width="11.5714285714286" style="5"/>
    <col min="6375" max="6375" width="15.2857142857143" style="5" customWidth="1"/>
    <col min="6376" max="6376" width="10.1428571428571" style="5" customWidth="1"/>
    <col min="6377" max="6377" width="25.4285714285714" style="5" customWidth="1"/>
    <col min="6378" max="6378" width="12.5714285714286" style="5" customWidth="1"/>
    <col min="6379" max="6379" width="10.7142857142857" style="5" customWidth="1"/>
    <col min="6380" max="6380" width="15.7142857142857" style="5" customWidth="1"/>
    <col min="6381" max="6381" width="8.85714285714286" style="5" customWidth="1"/>
    <col min="6382" max="6382" width="5.14285714285714" style="5" customWidth="1"/>
    <col min="6383" max="6630" width="11.5714285714286" style="5"/>
    <col min="6631" max="6631" width="15.2857142857143" style="5" customWidth="1"/>
    <col min="6632" max="6632" width="10.1428571428571" style="5" customWidth="1"/>
    <col min="6633" max="6633" width="25.4285714285714" style="5" customWidth="1"/>
    <col min="6634" max="6634" width="12.5714285714286" style="5" customWidth="1"/>
    <col min="6635" max="6635" width="10.7142857142857" style="5" customWidth="1"/>
    <col min="6636" max="6636" width="15.7142857142857" style="5" customWidth="1"/>
    <col min="6637" max="6637" width="8.85714285714286" style="5" customWidth="1"/>
    <col min="6638" max="6638" width="5.14285714285714" style="5" customWidth="1"/>
    <col min="6639" max="6886" width="11.5714285714286" style="5"/>
    <col min="6887" max="6887" width="15.2857142857143" style="5" customWidth="1"/>
    <col min="6888" max="6888" width="10.1428571428571" style="5" customWidth="1"/>
    <col min="6889" max="6889" width="25.4285714285714" style="5" customWidth="1"/>
    <col min="6890" max="6890" width="12.5714285714286" style="5" customWidth="1"/>
    <col min="6891" max="6891" width="10.7142857142857" style="5" customWidth="1"/>
    <col min="6892" max="6892" width="15.7142857142857" style="5" customWidth="1"/>
    <col min="6893" max="6893" width="8.85714285714286" style="5" customWidth="1"/>
    <col min="6894" max="6894" width="5.14285714285714" style="5" customWidth="1"/>
    <col min="6895" max="7142" width="11.5714285714286" style="5"/>
    <col min="7143" max="7143" width="15.2857142857143" style="5" customWidth="1"/>
    <col min="7144" max="7144" width="10.1428571428571" style="5" customWidth="1"/>
    <col min="7145" max="7145" width="25.4285714285714" style="5" customWidth="1"/>
    <col min="7146" max="7146" width="12.5714285714286" style="5" customWidth="1"/>
    <col min="7147" max="7147" width="10.7142857142857" style="5" customWidth="1"/>
    <col min="7148" max="7148" width="15.7142857142857" style="5" customWidth="1"/>
    <col min="7149" max="7149" width="8.85714285714286" style="5" customWidth="1"/>
    <col min="7150" max="7150" width="5.14285714285714" style="5" customWidth="1"/>
    <col min="7151" max="7398" width="11.5714285714286" style="5"/>
    <col min="7399" max="7399" width="15.2857142857143" style="5" customWidth="1"/>
    <col min="7400" max="7400" width="10.1428571428571" style="5" customWidth="1"/>
    <col min="7401" max="7401" width="25.4285714285714" style="5" customWidth="1"/>
    <col min="7402" max="7402" width="12.5714285714286" style="5" customWidth="1"/>
    <col min="7403" max="7403" width="10.7142857142857" style="5" customWidth="1"/>
    <col min="7404" max="7404" width="15.7142857142857" style="5" customWidth="1"/>
    <col min="7405" max="7405" width="8.85714285714286" style="5" customWidth="1"/>
    <col min="7406" max="7406" width="5.14285714285714" style="5" customWidth="1"/>
    <col min="7407" max="7654" width="11.5714285714286" style="5"/>
    <col min="7655" max="7655" width="15.2857142857143" style="5" customWidth="1"/>
    <col min="7656" max="7656" width="10.1428571428571" style="5" customWidth="1"/>
    <col min="7657" max="7657" width="25.4285714285714" style="5" customWidth="1"/>
    <col min="7658" max="7658" width="12.5714285714286" style="5" customWidth="1"/>
    <col min="7659" max="7659" width="10.7142857142857" style="5" customWidth="1"/>
    <col min="7660" max="7660" width="15.7142857142857" style="5" customWidth="1"/>
    <col min="7661" max="7661" width="8.85714285714286" style="5" customWidth="1"/>
    <col min="7662" max="7662" width="5.14285714285714" style="5" customWidth="1"/>
    <col min="7663" max="7910" width="11.5714285714286" style="5"/>
    <col min="7911" max="7911" width="15.2857142857143" style="5" customWidth="1"/>
    <col min="7912" max="7912" width="10.1428571428571" style="5" customWidth="1"/>
    <col min="7913" max="7913" width="25.4285714285714" style="5" customWidth="1"/>
    <col min="7914" max="7914" width="12.5714285714286" style="5" customWidth="1"/>
    <col min="7915" max="7915" width="10.7142857142857" style="5" customWidth="1"/>
    <col min="7916" max="7916" width="15.7142857142857" style="5" customWidth="1"/>
    <col min="7917" max="7917" width="8.85714285714286" style="5" customWidth="1"/>
    <col min="7918" max="7918" width="5.14285714285714" style="5" customWidth="1"/>
    <col min="7919" max="8166" width="11.5714285714286" style="5"/>
    <col min="8167" max="8167" width="15.2857142857143" style="5" customWidth="1"/>
    <col min="8168" max="8168" width="10.1428571428571" style="5" customWidth="1"/>
    <col min="8169" max="8169" width="25.4285714285714" style="5" customWidth="1"/>
    <col min="8170" max="8170" width="12.5714285714286" style="5" customWidth="1"/>
    <col min="8171" max="8171" width="10.7142857142857" style="5" customWidth="1"/>
    <col min="8172" max="8172" width="15.7142857142857" style="5" customWidth="1"/>
    <col min="8173" max="8173" width="8.85714285714286" style="5" customWidth="1"/>
    <col min="8174" max="8174" width="5.14285714285714" style="5" customWidth="1"/>
    <col min="8175" max="8422" width="11.5714285714286" style="5"/>
    <col min="8423" max="8423" width="15.2857142857143" style="5" customWidth="1"/>
    <col min="8424" max="8424" width="10.1428571428571" style="5" customWidth="1"/>
    <col min="8425" max="8425" width="25.4285714285714" style="5" customWidth="1"/>
    <col min="8426" max="8426" width="12.5714285714286" style="5" customWidth="1"/>
    <col min="8427" max="8427" width="10.7142857142857" style="5" customWidth="1"/>
    <col min="8428" max="8428" width="15.7142857142857" style="5" customWidth="1"/>
    <col min="8429" max="8429" width="8.85714285714286" style="5" customWidth="1"/>
    <col min="8430" max="8430" width="5.14285714285714" style="5" customWidth="1"/>
    <col min="8431" max="8678" width="11.5714285714286" style="5"/>
    <col min="8679" max="8679" width="15.2857142857143" style="5" customWidth="1"/>
    <col min="8680" max="8680" width="10.1428571428571" style="5" customWidth="1"/>
    <col min="8681" max="8681" width="25.4285714285714" style="5" customWidth="1"/>
    <col min="8682" max="8682" width="12.5714285714286" style="5" customWidth="1"/>
    <col min="8683" max="8683" width="10.7142857142857" style="5" customWidth="1"/>
    <col min="8684" max="8684" width="15.7142857142857" style="5" customWidth="1"/>
    <col min="8685" max="8685" width="8.85714285714286" style="5" customWidth="1"/>
    <col min="8686" max="8686" width="5.14285714285714" style="5" customWidth="1"/>
    <col min="8687" max="8934" width="11.5714285714286" style="5"/>
    <col min="8935" max="8935" width="15.2857142857143" style="5" customWidth="1"/>
    <col min="8936" max="8936" width="10.1428571428571" style="5" customWidth="1"/>
    <col min="8937" max="8937" width="25.4285714285714" style="5" customWidth="1"/>
    <col min="8938" max="8938" width="12.5714285714286" style="5" customWidth="1"/>
    <col min="8939" max="8939" width="10.7142857142857" style="5" customWidth="1"/>
    <col min="8940" max="8940" width="15.7142857142857" style="5" customWidth="1"/>
    <col min="8941" max="8941" width="8.85714285714286" style="5" customWidth="1"/>
    <col min="8942" max="8942" width="5.14285714285714" style="5" customWidth="1"/>
    <col min="8943" max="9190" width="11.5714285714286" style="5"/>
    <col min="9191" max="9191" width="15.2857142857143" style="5" customWidth="1"/>
    <col min="9192" max="9192" width="10.1428571428571" style="5" customWidth="1"/>
    <col min="9193" max="9193" width="25.4285714285714" style="5" customWidth="1"/>
    <col min="9194" max="9194" width="12.5714285714286" style="5" customWidth="1"/>
    <col min="9195" max="9195" width="10.7142857142857" style="5" customWidth="1"/>
    <col min="9196" max="9196" width="15.7142857142857" style="5" customWidth="1"/>
    <col min="9197" max="9197" width="8.85714285714286" style="5" customWidth="1"/>
    <col min="9198" max="9198" width="5.14285714285714" style="5" customWidth="1"/>
    <col min="9199" max="9446" width="11.5714285714286" style="5"/>
    <col min="9447" max="9447" width="15.2857142857143" style="5" customWidth="1"/>
    <col min="9448" max="9448" width="10.1428571428571" style="5" customWidth="1"/>
    <col min="9449" max="9449" width="25.4285714285714" style="5" customWidth="1"/>
    <col min="9450" max="9450" width="12.5714285714286" style="5" customWidth="1"/>
    <col min="9451" max="9451" width="10.7142857142857" style="5" customWidth="1"/>
    <col min="9452" max="9452" width="15.7142857142857" style="5" customWidth="1"/>
    <col min="9453" max="9453" width="8.85714285714286" style="5" customWidth="1"/>
    <col min="9454" max="9454" width="5.14285714285714" style="5" customWidth="1"/>
    <col min="9455" max="9702" width="11.5714285714286" style="5"/>
    <col min="9703" max="9703" width="15.2857142857143" style="5" customWidth="1"/>
    <col min="9704" max="9704" width="10.1428571428571" style="5" customWidth="1"/>
    <col min="9705" max="9705" width="25.4285714285714" style="5" customWidth="1"/>
    <col min="9706" max="9706" width="12.5714285714286" style="5" customWidth="1"/>
    <col min="9707" max="9707" width="10.7142857142857" style="5" customWidth="1"/>
    <col min="9708" max="9708" width="15.7142857142857" style="5" customWidth="1"/>
    <col min="9709" max="9709" width="8.85714285714286" style="5" customWidth="1"/>
    <col min="9710" max="9710" width="5.14285714285714" style="5" customWidth="1"/>
    <col min="9711" max="9958" width="11.5714285714286" style="5"/>
    <col min="9959" max="9959" width="15.2857142857143" style="5" customWidth="1"/>
    <col min="9960" max="9960" width="10.1428571428571" style="5" customWidth="1"/>
    <col min="9961" max="9961" width="25.4285714285714" style="5" customWidth="1"/>
    <col min="9962" max="9962" width="12.5714285714286" style="5" customWidth="1"/>
    <col min="9963" max="9963" width="10.7142857142857" style="5" customWidth="1"/>
    <col min="9964" max="9964" width="15.7142857142857" style="5" customWidth="1"/>
    <col min="9965" max="9965" width="8.85714285714286" style="5" customWidth="1"/>
    <col min="9966" max="9966" width="5.14285714285714" style="5" customWidth="1"/>
    <col min="9967" max="10214" width="11.5714285714286" style="5"/>
    <col min="10215" max="10215" width="15.2857142857143" style="5" customWidth="1"/>
    <col min="10216" max="10216" width="10.1428571428571" style="5" customWidth="1"/>
    <col min="10217" max="10217" width="25.4285714285714" style="5" customWidth="1"/>
    <col min="10218" max="10218" width="12.5714285714286" style="5" customWidth="1"/>
    <col min="10219" max="10219" width="10.7142857142857" style="5" customWidth="1"/>
    <col min="10220" max="10220" width="15.7142857142857" style="5" customWidth="1"/>
    <col min="10221" max="10221" width="8.85714285714286" style="5" customWidth="1"/>
    <col min="10222" max="10222" width="5.14285714285714" style="5" customWidth="1"/>
    <col min="10223" max="10470" width="11.5714285714286" style="5"/>
    <col min="10471" max="10471" width="15.2857142857143" style="5" customWidth="1"/>
    <col min="10472" max="10472" width="10.1428571428571" style="5" customWidth="1"/>
    <col min="10473" max="10473" width="25.4285714285714" style="5" customWidth="1"/>
    <col min="10474" max="10474" width="12.5714285714286" style="5" customWidth="1"/>
    <col min="10475" max="10475" width="10.7142857142857" style="5" customWidth="1"/>
    <col min="10476" max="10476" width="15.7142857142857" style="5" customWidth="1"/>
    <col min="10477" max="10477" width="8.85714285714286" style="5" customWidth="1"/>
    <col min="10478" max="10478" width="5.14285714285714" style="5" customWidth="1"/>
    <col min="10479" max="10726" width="11.5714285714286" style="5"/>
    <col min="10727" max="10727" width="15.2857142857143" style="5" customWidth="1"/>
    <col min="10728" max="10728" width="10.1428571428571" style="5" customWidth="1"/>
    <col min="10729" max="10729" width="25.4285714285714" style="5" customWidth="1"/>
    <col min="10730" max="10730" width="12.5714285714286" style="5" customWidth="1"/>
    <col min="10731" max="10731" width="10.7142857142857" style="5" customWidth="1"/>
    <col min="10732" max="10732" width="15.7142857142857" style="5" customWidth="1"/>
    <col min="10733" max="10733" width="8.85714285714286" style="5" customWidth="1"/>
    <col min="10734" max="10734" width="5.14285714285714" style="5" customWidth="1"/>
    <col min="10735" max="10982" width="11.5714285714286" style="5"/>
    <col min="10983" max="10983" width="15.2857142857143" style="5" customWidth="1"/>
    <col min="10984" max="10984" width="10.1428571428571" style="5" customWidth="1"/>
    <col min="10985" max="10985" width="25.4285714285714" style="5" customWidth="1"/>
    <col min="10986" max="10986" width="12.5714285714286" style="5" customWidth="1"/>
    <col min="10987" max="10987" width="10.7142857142857" style="5" customWidth="1"/>
    <col min="10988" max="10988" width="15.7142857142857" style="5" customWidth="1"/>
    <col min="10989" max="10989" width="8.85714285714286" style="5" customWidth="1"/>
    <col min="10990" max="10990" width="5.14285714285714" style="5" customWidth="1"/>
    <col min="10991" max="11238" width="11.5714285714286" style="5"/>
    <col min="11239" max="11239" width="15.2857142857143" style="5" customWidth="1"/>
    <col min="11240" max="11240" width="10.1428571428571" style="5" customWidth="1"/>
    <col min="11241" max="11241" width="25.4285714285714" style="5" customWidth="1"/>
    <col min="11242" max="11242" width="12.5714285714286" style="5" customWidth="1"/>
    <col min="11243" max="11243" width="10.7142857142857" style="5" customWidth="1"/>
    <col min="11244" max="11244" width="15.7142857142857" style="5" customWidth="1"/>
    <col min="11245" max="11245" width="8.85714285714286" style="5" customWidth="1"/>
    <col min="11246" max="11246" width="5.14285714285714" style="5" customWidth="1"/>
    <col min="11247" max="11494" width="11.5714285714286" style="5"/>
    <col min="11495" max="11495" width="15.2857142857143" style="5" customWidth="1"/>
    <col min="11496" max="11496" width="10.1428571428571" style="5" customWidth="1"/>
    <col min="11497" max="11497" width="25.4285714285714" style="5" customWidth="1"/>
    <col min="11498" max="11498" width="12.5714285714286" style="5" customWidth="1"/>
    <col min="11499" max="11499" width="10.7142857142857" style="5" customWidth="1"/>
    <col min="11500" max="11500" width="15.7142857142857" style="5" customWidth="1"/>
    <col min="11501" max="11501" width="8.85714285714286" style="5" customWidth="1"/>
    <col min="11502" max="11502" width="5.14285714285714" style="5" customWidth="1"/>
    <col min="11503" max="11750" width="11.5714285714286" style="5"/>
    <col min="11751" max="11751" width="15.2857142857143" style="5" customWidth="1"/>
    <col min="11752" max="11752" width="10.1428571428571" style="5" customWidth="1"/>
    <col min="11753" max="11753" width="25.4285714285714" style="5" customWidth="1"/>
    <col min="11754" max="11754" width="12.5714285714286" style="5" customWidth="1"/>
    <col min="11755" max="11755" width="10.7142857142857" style="5" customWidth="1"/>
    <col min="11756" max="11756" width="15.7142857142857" style="5" customWidth="1"/>
    <col min="11757" max="11757" width="8.85714285714286" style="5" customWidth="1"/>
    <col min="11758" max="11758" width="5.14285714285714" style="5" customWidth="1"/>
    <col min="11759" max="12006" width="11.5714285714286" style="5"/>
    <col min="12007" max="12007" width="15.2857142857143" style="5" customWidth="1"/>
    <col min="12008" max="12008" width="10.1428571428571" style="5" customWidth="1"/>
    <col min="12009" max="12009" width="25.4285714285714" style="5" customWidth="1"/>
    <col min="12010" max="12010" width="12.5714285714286" style="5" customWidth="1"/>
    <col min="12011" max="12011" width="10.7142857142857" style="5" customWidth="1"/>
    <col min="12012" max="12012" width="15.7142857142857" style="5" customWidth="1"/>
    <col min="12013" max="12013" width="8.85714285714286" style="5" customWidth="1"/>
    <col min="12014" max="12014" width="5.14285714285714" style="5" customWidth="1"/>
    <col min="12015" max="12262" width="11.5714285714286" style="5"/>
    <col min="12263" max="12263" width="15.2857142857143" style="5" customWidth="1"/>
    <col min="12264" max="12264" width="10.1428571428571" style="5" customWidth="1"/>
    <col min="12265" max="12265" width="25.4285714285714" style="5" customWidth="1"/>
    <col min="12266" max="12266" width="12.5714285714286" style="5" customWidth="1"/>
    <col min="12267" max="12267" width="10.7142857142857" style="5" customWidth="1"/>
    <col min="12268" max="12268" width="15.7142857142857" style="5" customWidth="1"/>
    <col min="12269" max="12269" width="8.85714285714286" style="5" customWidth="1"/>
    <col min="12270" max="12270" width="5.14285714285714" style="5" customWidth="1"/>
    <col min="12271" max="12518" width="11.5714285714286" style="5"/>
    <col min="12519" max="12519" width="15.2857142857143" style="5" customWidth="1"/>
    <col min="12520" max="12520" width="10.1428571428571" style="5" customWidth="1"/>
    <col min="12521" max="12521" width="25.4285714285714" style="5" customWidth="1"/>
    <col min="12522" max="12522" width="12.5714285714286" style="5" customWidth="1"/>
    <col min="12523" max="12523" width="10.7142857142857" style="5" customWidth="1"/>
    <col min="12524" max="12524" width="15.7142857142857" style="5" customWidth="1"/>
    <col min="12525" max="12525" width="8.85714285714286" style="5" customWidth="1"/>
    <col min="12526" max="12526" width="5.14285714285714" style="5" customWidth="1"/>
    <col min="12527" max="12774" width="11.5714285714286" style="5"/>
    <col min="12775" max="12775" width="15.2857142857143" style="5" customWidth="1"/>
    <col min="12776" max="12776" width="10.1428571428571" style="5" customWidth="1"/>
    <col min="12777" max="12777" width="25.4285714285714" style="5" customWidth="1"/>
    <col min="12778" max="12778" width="12.5714285714286" style="5" customWidth="1"/>
    <col min="12779" max="12779" width="10.7142857142857" style="5" customWidth="1"/>
    <col min="12780" max="12780" width="15.7142857142857" style="5" customWidth="1"/>
    <col min="12781" max="12781" width="8.85714285714286" style="5" customWidth="1"/>
    <col min="12782" max="12782" width="5.14285714285714" style="5" customWidth="1"/>
    <col min="12783" max="13030" width="11.5714285714286" style="5"/>
    <col min="13031" max="13031" width="15.2857142857143" style="5" customWidth="1"/>
    <col min="13032" max="13032" width="10.1428571428571" style="5" customWidth="1"/>
    <col min="13033" max="13033" width="25.4285714285714" style="5" customWidth="1"/>
    <col min="13034" max="13034" width="12.5714285714286" style="5" customWidth="1"/>
    <col min="13035" max="13035" width="10.7142857142857" style="5" customWidth="1"/>
    <col min="13036" max="13036" width="15.7142857142857" style="5" customWidth="1"/>
    <col min="13037" max="13037" width="8.85714285714286" style="5" customWidth="1"/>
    <col min="13038" max="13038" width="5.14285714285714" style="5" customWidth="1"/>
    <col min="13039" max="13286" width="11.5714285714286" style="5"/>
    <col min="13287" max="13287" width="15.2857142857143" style="5" customWidth="1"/>
    <col min="13288" max="13288" width="10.1428571428571" style="5" customWidth="1"/>
    <col min="13289" max="13289" width="25.4285714285714" style="5" customWidth="1"/>
    <col min="13290" max="13290" width="12.5714285714286" style="5" customWidth="1"/>
    <col min="13291" max="13291" width="10.7142857142857" style="5" customWidth="1"/>
    <col min="13292" max="13292" width="15.7142857142857" style="5" customWidth="1"/>
    <col min="13293" max="13293" width="8.85714285714286" style="5" customWidth="1"/>
    <col min="13294" max="13294" width="5.14285714285714" style="5" customWidth="1"/>
    <col min="13295" max="13542" width="11.5714285714286" style="5"/>
    <col min="13543" max="13543" width="15.2857142857143" style="5" customWidth="1"/>
    <col min="13544" max="13544" width="10.1428571428571" style="5" customWidth="1"/>
    <col min="13545" max="13545" width="25.4285714285714" style="5" customWidth="1"/>
    <col min="13546" max="13546" width="12.5714285714286" style="5" customWidth="1"/>
    <col min="13547" max="13547" width="10.7142857142857" style="5" customWidth="1"/>
    <col min="13548" max="13548" width="15.7142857142857" style="5" customWidth="1"/>
    <col min="13549" max="13549" width="8.85714285714286" style="5" customWidth="1"/>
    <col min="13550" max="13550" width="5.14285714285714" style="5" customWidth="1"/>
    <col min="13551" max="13798" width="11.5714285714286" style="5"/>
    <col min="13799" max="13799" width="15.2857142857143" style="5" customWidth="1"/>
    <col min="13800" max="13800" width="10.1428571428571" style="5" customWidth="1"/>
    <col min="13801" max="13801" width="25.4285714285714" style="5" customWidth="1"/>
    <col min="13802" max="13802" width="12.5714285714286" style="5" customWidth="1"/>
    <col min="13803" max="13803" width="10.7142857142857" style="5" customWidth="1"/>
    <col min="13804" max="13804" width="15.7142857142857" style="5" customWidth="1"/>
    <col min="13805" max="13805" width="8.85714285714286" style="5" customWidth="1"/>
    <col min="13806" max="13806" width="5.14285714285714" style="5" customWidth="1"/>
    <col min="13807" max="14054" width="11.5714285714286" style="5"/>
    <col min="14055" max="14055" width="15.2857142857143" style="5" customWidth="1"/>
    <col min="14056" max="14056" width="10.1428571428571" style="5" customWidth="1"/>
    <col min="14057" max="14057" width="25.4285714285714" style="5" customWidth="1"/>
    <col min="14058" max="14058" width="12.5714285714286" style="5" customWidth="1"/>
    <col min="14059" max="14059" width="10.7142857142857" style="5" customWidth="1"/>
    <col min="14060" max="14060" width="15.7142857142857" style="5" customWidth="1"/>
    <col min="14061" max="14061" width="8.85714285714286" style="5" customWidth="1"/>
    <col min="14062" max="14062" width="5.14285714285714" style="5" customWidth="1"/>
    <col min="14063" max="14310" width="11.5714285714286" style="5"/>
    <col min="14311" max="14311" width="15.2857142857143" style="5" customWidth="1"/>
    <col min="14312" max="14312" width="10.1428571428571" style="5" customWidth="1"/>
    <col min="14313" max="14313" width="25.4285714285714" style="5" customWidth="1"/>
    <col min="14314" max="14314" width="12.5714285714286" style="5" customWidth="1"/>
    <col min="14315" max="14315" width="10.7142857142857" style="5" customWidth="1"/>
    <col min="14316" max="14316" width="15.7142857142857" style="5" customWidth="1"/>
    <col min="14317" max="14317" width="8.85714285714286" style="5" customWidth="1"/>
    <col min="14318" max="14318" width="5.14285714285714" style="5" customWidth="1"/>
    <col min="14319" max="14566" width="11.5714285714286" style="5"/>
    <col min="14567" max="14567" width="15.2857142857143" style="5" customWidth="1"/>
    <col min="14568" max="14568" width="10.1428571428571" style="5" customWidth="1"/>
    <col min="14569" max="14569" width="25.4285714285714" style="5" customWidth="1"/>
    <col min="14570" max="14570" width="12.5714285714286" style="5" customWidth="1"/>
    <col min="14571" max="14571" width="10.7142857142857" style="5" customWidth="1"/>
    <col min="14572" max="14572" width="15.7142857142857" style="5" customWidth="1"/>
    <col min="14573" max="14573" width="8.85714285714286" style="5" customWidth="1"/>
    <col min="14574" max="14574" width="5.14285714285714" style="5" customWidth="1"/>
    <col min="14575" max="14822" width="11.5714285714286" style="5"/>
    <col min="14823" max="14823" width="15.2857142857143" style="5" customWidth="1"/>
    <col min="14824" max="14824" width="10.1428571428571" style="5" customWidth="1"/>
    <col min="14825" max="14825" width="25.4285714285714" style="5" customWidth="1"/>
    <col min="14826" max="14826" width="12.5714285714286" style="5" customWidth="1"/>
    <col min="14827" max="14827" width="10.7142857142857" style="5" customWidth="1"/>
    <col min="14828" max="14828" width="15.7142857142857" style="5" customWidth="1"/>
    <col min="14829" max="14829" width="8.85714285714286" style="5" customWidth="1"/>
    <col min="14830" max="14830" width="5.14285714285714" style="5" customWidth="1"/>
    <col min="14831" max="15078" width="11.5714285714286" style="5"/>
    <col min="15079" max="15079" width="15.2857142857143" style="5" customWidth="1"/>
    <col min="15080" max="15080" width="10.1428571428571" style="5" customWidth="1"/>
    <col min="15081" max="15081" width="25.4285714285714" style="5" customWidth="1"/>
    <col min="15082" max="15082" width="12.5714285714286" style="5" customWidth="1"/>
    <col min="15083" max="15083" width="10.7142857142857" style="5" customWidth="1"/>
    <col min="15084" max="15084" width="15.7142857142857" style="5" customWidth="1"/>
    <col min="15085" max="15085" width="8.85714285714286" style="5" customWidth="1"/>
    <col min="15086" max="15086" width="5.14285714285714" style="5" customWidth="1"/>
    <col min="15087" max="15334" width="11.5714285714286" style="5"/>
    <col min="15335" max="15335" width="15.2857142857143" style="5" customWidth="1"/>
    <col min="15336" max="15336" width="10.1428571428571" style="5" customWidth="1"/>
    <col min="15337" max="15337" width="25.4285714285714" style="5" customWidth="1"/>
    <col min="15338" max="15338" width="12.5714285714286" style="5" customWidth="1"/>
    <col min="15339" max="15339" width="10.7142857142857" style="5" customWidth="1"/>
    <col min="15340" max="15340" width="15.7142857142857" style="5" customWidth="1"/>
    <col min="15341" max="15341" width="8.85714285714286" style="5" customWidth="1"/>
    <col min="15342" max="15342" width="5.14285714285714" style="5" customWidth="1"/>
    <col min="15343" max="15590" width="11.5714285714286" style="5"/>
    <col min="15591" max="15591" width="15.2857142857143" style="5" customWidth="1"/>
    <col min="15592" max="15592" width="10.1428571428571" style="5" customWidth="1"/>
    <col min="15593" max="15593" width="25.4285714285714" style="5" customWidth="1"/>
    <col min="15594" max="15594" width="12.5714285714286" style="5" customWidth="1"/>
    <col min="15595" max="15595" width="10.7142857142857" style="5" customWidth="1"/>
    <col min="15596" max="15596" width="15.7142857142857" style="5" customWidth="1"/>
    <col min="15597" max="15597" width="8.85714285714286" style="5" customWidth="1"/>
    <col min="15598" max="15598" width="5.14285714285714" style="5" customWidth="1"/>
    <col min="15599" max="15846" width="11.5714285714286" style="5"/>
    <col min="15847" max="15847" width="15.2857142857143" style="5" customWidth="1"/>
    <col min="15848" max="15848" width="10.1428571428571" style="5" customWidth="1"/>
    <col min="15849" max="15849" width="25.4285714285714" style="5" customWidth="1"/>
    <col min="15850" max="15850" width="12.5714285714286" style="5" customWidth="1"/>
    <col min="15851" max="15851" width="10.7142857142857" style="5" customWidth="1"/>
    <col min="15852" max="15852" width="15.7142857142857" style="5" customWidth="1"/>
    <col min="15853" max="15853" width="8.85714285714286" style="5" customWidth="1"/>
    <col min="15854" max="15854" width="5.14285714285714" style="5" customWidth="1"/>
    <col min="15855" max="16102" width="11.5714285714286" style="5"/>
    <col min="16103" max="16103" width="15.2857142857143" style="5" customWidth="1"/>
    <col min="16104" max="16104" width="10.1428571428571" style="5" customWidth="1"/>
    <col min="16105" max="16105" width="25.4285714285714" style="5" customWidth="1"/>
    <col min="16106" max="16106" width="12.5714285714286" style="5" customWidth="1"/>
    <col min="16107" max="16107" width="10.7142857142857" style="5" customWidth="1"/>
    <col min="16108" max="16108" width="15.7142857142857" style="5" customWidth="1"/>
    <col min="16109" max="16109" width="8.85714285714286" style="5" customWidth="1"/>
    <col min="16110" max="16110" width="5.14285714285714" style="5" customWidth="1"/>
    <col min="16111" max="16384" width="11.5714285714286" style="5"/>
  </cols>
  <sheetData>
    <row r="1" ht="18" spans="1:4">
      <c r="A1" s="6" t="s">
        <v>40</v>
      </c>
      <c r="B1" s="6"/>
      <c r="C1" s="6"/>
      <c r="D1" s="6"/>
    </row>
    <row r="2" ht="18" spans="1:4">
      <c r="A2" s="7" t="s">
        <v>41</v>
      </c>
      <c r="B2" s="7"/>
      <c r="C2" s="7"/>
      <c r="D2" s="7"/>
    </row>
    <row r="3" s="1" customFormat="1" ht="30" customHeight="1" spans="1:9">
      <c r="A3" s="8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H3" s="10"/>
      <c r="I3" s="10"/>
    </row>
    <row r="4" spans="1:9">
      <c r="A4" s="11" t="s">
        <v>48</v>
      </c>
      <c r="B4" s="12">
        <f>Rekap!AB3</f>
        <v>3874762</v>
      </c>
      <c r="C4" s="13" t="s">
        <v>49</v>
      </c>
      <c r="D4" s="13" t="s">
        <v>50</v>
      </c>
      <c r="E4" s="13" t="s">
        <v>51</v>
      </c>
      <c r="F4" s="13" t="str">
        <f>'[1]Tendik Okt 19'!B10</f>
        <v>Zulfikar</v>
      </c>
      <c r="H4" s="14" t="str">
        <f>Rekap!B3</f>
        <v>Zulfikar, S.E</v>
      </c>
      <c r="I4" s="14"/>
    </row>
    <row r="5" spans="1:9">
      <c r="A5" s="11" t="s">
        <v>52</v>
      </c>
      <c r="B5" s="12" t="e">
        <f>Rekap!#REF!</f>
        <v>#REF!</v>
      </c>
      <c r="C5" s="13" t="str">
        <f t="shared" ref="C5:C19" si="0">C4</f>
        <v>Gaji Bl Agustus 2025</v>
      </c>
      <c r="D5" s="13" t="s">
        <v>50</v>
      </c>
      <c r="E5" s="13" t="s">
        <v>51</v>
      </c>
      <c r="F5" s="13" t="str">
        <f>'[1]Tendik Okt 19'!B11</f>
        <v>Nicky Nia Gustriani</v>
      </c>
      <c r="H5" s="14" t="e">
        <f>Rekap!#REF!</f>
        <v>#REF!</v>
      </c>
      <c r="I5" s="14"/>
    </row>
    <row r="6" spans="1:9">
      <c r="A6" s="11" t="s">
        <v>53</v>
      </c>
      <c r="B6" s="12" t="e">
        <f>Rekap!#REF!</f>
        <v>#REF!</v>
      </c>
      <c r="C6" s="13" t="str">
        <f t="shared" si="0"/>
        <v>Gaji Bl Agustus 2025</v>
      </c>
      <c r="D6" s="13" t="s">
        <v>50</v>
      </c>
      <c r="E6" s="13" t="s">
        <v>51</v>
      </c>
      <c r="F6" s="13" t="str">
        <f>[2]Rekap!A8</f>
        <v>Halida, A.Md</v>
      </c>
      <c r="H6" s="14" t="e">
        <f>Rekap!#REF!</f>
        <v>#REF!</v>
      </c>
      <c r="I6" s="14"/>
    </row>
    <row r="7" spans="1:9">
      <c r="A7" s="11" t="s">
        <v>54</v>
      </c>
      <c r="B7" s="12" t="e">
        <f>Rekap!#REF!</f>
        <v>#REF!</v>
      </c>
      <c r="C7" s="13" t="str">
        <f t="shared" si="0"/>
        <v>Gaji Bl Agustus 2025</v>
      </c>
      <c r="D7" s="13" t="s">
        <v>50</v>
      </c>
      <c r="E7" s="13" t="s">
        <v>51</v>
      </c>
      <c r="F7" s="13" t="str">
        <f>'[1]Tendik Okt 19'!B12</f>
        <v>Kartini Sari</v>
      </c>
      <c r="H7" s="14" t="e">
        <f>Rekap!#REF!</f>
        <v>#REF!</v>
      </c>
      <c r="I7" s="14"/>
    </row>
    <row r="8" spans="1:9">
      <c r="A8" s="11" t="s">
        <v>55</v>
      </c>
      <c r="B8" s="12" t="e">
        <f>Rekap!#REF!</f>
        <v>#REF!</v>
      </c>
      <c r="C8" s="13" t="str">
        <f t="shared" si="0"/>
        <v>Gaji Bl Agustus 2025</v>
      </c>
      <c r="D8" s="13" t="s">
        <v>50</v>
      </c>
      <c r="E8" s="13" t="s">
        <v>51</v>
      </c>
      <c r="F8" s="13" t="s">
        <v>56</v>
      </c>
      <c r="G8" s="14"/>
      <c r="H8" s="14" t="e">
        <f>Rekap!#REF!</f>
        <v>#REF!</v>
      </c>
      <c r="I8" s="14"/>
    </row>
    <row r="9" s="2" customFormat="1" spans="1:9">
      <c r="A9" s="11" t="s">
        <v>57</v>
      </c>
      <c r="B9" s="12" t="e">
        <f>Rekap!#REF!</f>
        <v>#REF!</v>
      </c>
      <c r="C9" s="13" t="str">
        <f t="shared" si="0"/>
        <v>Gaji Bl Agustus 2025</v>
      </c>
      <c r="D9" s="13" t="s">
        <v>50</v>
      </c>
      <c r="E9" s="13" t="s">
        <v>51</v>
      </c>
      <c r="F9" s="13" t="str">
        <f>'[1]Tendik Okt 19'!B14</f>
        <v>Siti Sartika Oktavia</v>
      </c>
      <c r="G9" s="14"/>
      <c r="H9" s="14" t="e">
        <f>Rekap!#REF!</f>
        <v>#REF!</v>
      </c>
      <c r="I9" s="14"/>
    </row>
    <row r="10" spans="1:9">
      <c r="A10" s="11" t="s">
        <v>58</v>
      </c>
      <c r="B10" s="12" t="e">
        <f>Rekap!#REF!</f>
        <v>#REF!</v>
      </c>
      <c r="C10" s="13" t="str">
        <f t="shared" si="0"/>
        <v>Gaji Bl Agustus 2025</v>
      </c>
      <c r="D10" s="13" t="s">
        <v>50</v>
      </c>
      <c r="E10" s="13" t="s">
        <v>51</v>
      </c>
      <c r="F10" s="13" t="s">
        <v>59</v>
      </c>
      <c r="G10" s="14"/>
      <c r="H10" s="14" t="e">
        <f>Rekap!#REF!</f>
        <v>#REF!</v>
      </c>
      <c r="I10" s="14"/>
    </row>
    <row r="11" spans="1:9">
      <c r="A11" s="11" t="s">
        <v>60</v>
      </c>
      <c r="B11" s="12" t="e">
        <f>Rekap!#REF!</f>
        <v>#REF!</v>
      </c>
      <c r="C11" s="13" t="str">
        <f t="shared" si="0"/>
        <v>Gaji Bl Agustus 2025</v>
      </c>
      <c r="D11" s="13" t="s">
        <v>50</v>
      </c>
      <c r="E11" s="13" t="s">
        <v>51</v>
      </c>
      <c r="F11" s="13" t="s">
        <v>61</v>
      </c>
      <c r="G11" s="14"/>
      <c r="H11" s="14" t="e">
        <f>Rekap!#REF!</f>
        <v>#REF!</v>
      </c>
      <c r="I11" s="14"/>
    </row>
    <row r="12" spans="1:9">
      <c r="A12" s="11" t="s">
        <v>62</v>
      </c>
      <c r="B12" s="12" t="e">
        <f>Rekap!#REF!</f>
        <v>#REF!</v>
      </c>
      <c r="C12" s="13" t="str">
        <f t="shared" si="0"/>
        <v>Gaji Bl Agustus 2025</v>
      </c>
      <c r="D12" s="13" t="s">
        <v>50</v>
      </c>
      <c r="E12" s="13" t="s">
        <v>51</v>
      </c>
      <c r="F12" s="13" t="str">
        <f>'[1]Tendik Okt 19'!B17</f>
        <v>Alfauzal</v>
      </c>
      <c r="G12" s="14"/>
      <c r="H12" s="14" t="e">
        <f>Rekap!#REF!</f>
        <v>#REF!</v>
      </c>
      <c r="I12" s="14"/>
    </row>
    <row r="13" spans="1:9">
      <c r="A13" s="11" t="s">
        <v>63</v>
      </c>
      <c r="B13" s="12" t="e">
        <f>Rekap!#REF!</f>
        <v>#REF!</v>
      </c>
      <c r="C13" s="13" t="str">
        <f t="shared" si="0"/>
        <v>Gaji Bl Agustus 2025</v>
      </c>
      <c r="D13" s="13" t="s">
        <v>50</v>
      </c>
      <c r="E13" s="13" t="s">
        <v>51</v>
      </c>
      <c r="F13" s="13" t="s">
        <v>64</v>
      </c>
      <c r="G13" s="14"/>
      <c r="H13" s="14" t="e">
        <f>Rekap!#REF!</f>
        <v>#REF!</v>
      </c>
      <c r="I13" s="14"/>
    </row>
    <row r="14" s="2" customFormat="1" spans="1:9">
      <c r="A14" s="11" t="s">
        <v>65</v>
      </c>
      <c r="B14" s="12" t="e">
        <f>Rekap!#REF!</f>
        <v>#REF!</v>
      </c>
      <c r="C14" s="13" t="str">
        <f t="shared" si="0"/>
        <v>Gaji Bl Agustus 2025</v>
      </c>
      <c r="D14" s="13" t="s">
        <v>50</v>
      </c>
      <c r="E14" s="13" t="s">
        <v>51</v>
      </c>
      <c r="F14" s="13" t="str">
        <f>'[1]Tendik Okt 19'!B19</f>
        <v>Muhammad Iqbal</v>
      </c>
      <c r="G14" s="14"/>
      <c r="H14" s="14" t="e">
        <f>Rekap!#REF!</f>
        <v>#REF!</v>
      </c>
      <c r="I14" s="14"/>
    </row>
    <row r="15" spans="1:9">
      <c r="A15" s="11" t="s">
        <v>66</v>
      </c>
      <c r="B15" s="12" t="e">
        <f>Rekap!#REF!</f>
        <v>#REF!</v>
      </c>
      <c r="C15" s="13" t="str">
        <f t="shared" si="0"/>
        <v>Gaji Bl Agustus 2025</v>
      </c>
      <c r="D15" s="13" t="s">
        <v>50</v>
      </c>
      <c r="E15" s="13" t="s">
        <v>51</v>
      </c>
      <c r="F15" s="13" t="e">
        <f>Rekap!#REF!</f>
        <v>#REF!</v>
      </c>
      <c r="G15" s="14"/>
      <c r="H15" s="14" t="e">
        <f>Rekap!#REF!</f>
        <v>#REF!</v>
      </c>
      <c r="I15" s="14"/>
    </row>
    <row r="16" spans="1:9">
      <c r="A16" s="11" t="s">
        <v>67</v>
      </c>
      <c r="B16" s="12" t="e">
        <f>Rekap!#REF!</f>
        <v>#REF!</v>
      </c>
      <c r="C16" s="13" t="str">
        <f t="shared" si="0"/>
        <v>Gaji Bl Agustus 2025</v>
      </c>
      <c r="D16" s="13" t="s">
        <v>50</v>
      </c>
      <c r="E16" s="13" t="s">
        <v>51</v>
      </c>
      <c r="F16" s="13" t="str">
        <f>'[1]Tendik Okt 19'!B21</f>
        <v>Beni Adrian</v>
      </c>
      <c r="H16" s="14" t="e">
        <f>Rekap!#REF!</f>
        <v>#REF!</v>
      </c>
      <c r="I16" s="14"/>
    </row>
    <row r="17" spans="1:9">
      <c r="A17" s="11" t="s">
        <v>68</v>
      </c>
      <c r="B17" s="12" t="e">
        <f>Rekap!#REF!</f>
        <v>#REF!</v>
      </c>
      <c r="C17" s="13" t="str">
        <f t="shared" si="0"/>
        <v>Gaji Bl Agustus 2025</v>
      </c>
      <c r="D17" s="13" t="s">
        <v>50</v>
      </c>
      <c r="E17" s="13" t="s">
        <v>51</v>
      </c>
      <c r="F17" s="13" t="s">
        <v>69</v>
      </c>
      <c r="H17" s="14" t="e">
        <f>Rekap!#REF!</f>
        <v>#REF!</v>
      </c>
      <c r="I17" s="14"/>
    </row>
    <row r="18" spans="1:9">
      <c r="A18" s="11" t="s">
        <v>70</v>
      </c>
      <c r="B18" s="12" t="e">
        <f>Rekap!#REF!</f>
        <v>#REF!</v>
      </c>
      <c r="C18" s="13" t="str">
        <f t="shared" si="0"/>
        <v>Gaji Bl Agustus 2025</v>
      </c>
      <c r="D18" s="13" t="s">
        <v>50</v>
      </c>
      <c r="E18" s="13" t="s">
        <v>51</v>
      </c>
      <c r="F18" s="13" t="str">
        <f>'[1]Tendik Okt 19'!B24</f>
        <v>Amriadi </v>
      </c>
      <c r="H18" s="14" t="e">
        <f>Rekap!#REF!</f>
        <v>#REF!</v>
      </c>
      <c r="I18" s="14"/>
    </row>
    <row r="19" spans="1:9">
      <c r="A19" s="11" t="s">
        <v>71</v>
      </c>
      <c r="B19" s="12" t="e">
        <f>Rekap!#REF!</f>
        <v>#REF!</v>
      </c>
      <c r="C19" s="13" t="str">
        <f t="shared" si="0"/>
        <v>Gaji Bl Agustus 2025</v>
      </c>
      <c r="D19" s="13" t="s">
        <v>50</v>
      </c>
      <c r="E19" s="13" t="s">
        <v>51</v>
      </c>
      <c r="F19" s="13" t="s">
        <v>72</v>
      </c>
      <c r="H19" s="14" t="e">
        <f>Rekap!#REF!</f>
        <v>#REF!</v>
      </c>
      <c r="I19" s="14"/>
    </row>
    <row r="20" spans="1:9">
      <c r="A20" s="11" t="s">
        <v>73</v>
      </c>
      <c r="B20" s="12" t="e">
        <f>Rekap!#REF!</f>
        <v>#REF!</v>
      </c>
      <c r="C20" s="13" t="str">
        <f>C22</f>
        <v>Gaji Bl Agustus 2025</v>
      </c>
      <c r="D20" s="13" t="s">
        <v>50</v>
      </c>
      <c r="E20" s="13" t="s">
        <v>51</v>
      </c>
      <c r="F20" s="13" t="s">
        <v>74</v>
      </c>
      <c r="H20" s="14" t="e">
        <f>Rekap!#REF!</f>
        <v>#REF!</v>
      </c>
      <c r="I20" s="14"/>
    </row>
    <row r="21" spans="1:9">
      <c r="A21" s="11" t="s">
        <v>75</v>
      </c>
      <c r="B21" s="12" t="e">
        <f>Rekap!#REF!</f>
        <v>#REF!</v>
      </c>
      <c r="C21" s="13" t="str">
        <f>C5</f>
        <v>Gaji Bl Agustus 2025</v>
      </c>
      <c r="D21" s="13" t="s">
        <v>50</v>
      </c>
      <c r="E21" s="13" t="s">
        <v>51</v>
      </c>
      <c r="F21" s="13" t="s">
        <v>76</v>
      </c>
      <c r="H21" s="14" t="e">
        <f>Rekap!#REF!</f>
        <v>#REF!</v>
      </c>
      <c r="I21" s="14"/>
    </row>
    <row r="22" spans="1:9">
      <c r="A22" s="11" t="s">
        <v>77</v>
      </c>
      <c r="B22" s="12" t="e">
        <f>Rekap!#REF!</f>
        <v>#REF!</v>
      </c>
      <c r="C22" s="13" t="str">
        <f>C19</f>
        <v>Gaji Bl Agustus 2025</v>
      </c>
      <c r="D22" s="13" t="s">
        <v>50</v>
      </c>
      <c r="E22" s="13" t="s">
        <v>51</v>
      </c>
      <c r="F22" s="13" t="s">
        <v>78</v>
      </c>
      <c r="H22" s="14" t="e">
        <f>Rekap!#REF!</f>
        <v>#REF!</v>
      </c>
      <c r="I22" s="14"/>
    </row>
    <row r="23" spans="1:8">
      <c r="A23" s="11" t="s">
        <v>79</v>
      </c>
      <c r="B23" s="12" t="e">
        <f>Rekap!#REF!</f>
        <v>#REF!</v>
      </c>
      <c r="C23" s="13" t="str">
        <f>C6</f>
        <v>Gaji Bl Agustus 2025</v>
      </c>
      <c r="D23" s="13" t="s">
        <v>50</v>
      </c>
      <c r="E23" s="13" t="s">
        <v>51</v>
      </c>
      <c r="F23" s="13" t="s">
        <v>80</v>
      </c>
      <c r="H23" s="14" t="e">
        <f>Rekap!#REF!</f>
        <v>#REF!</v>
      </c>
    </row>
    <row r="24" spans="1:10">
      <c r="A24" s="11" t="s">
        <v>81</v>
      </c>
      <c r="B24" s="12" t="e">
        <f>Rekap!#REF!</f>
        <v>#REF!</v>
      </c>
      <c r="C24" s="13" t="str">
        <f>C7</f>
        <v>Gaji Bl Agustus 2025</v>
      </c>
      <c r="D24" s="13" t="s">
        <v>50</v>
      </c>
      <c r="E24" s="13" t="s">
        <v>51</v>
      </c>
      <c r="F24" s="13" t="s">
        <v>82</v>
      </c>
      <c r="H24" s="14" t="e">
        <f>Rekap!#REF!</f>
        <v>#REF!</v>
      </c>
      <c r="J24" s="35"/>
    </row>
    <row r="25" spans="1:8">
      <c r="A25" s="11" t="s">
        <v>83</v>
      </c>
      <c r="B25" s="12" t="e">
        <f>Rekap!#REF!</f>
        <v>#REF!</v>
      </c>
      <c r="C25" s="13" t="str">
        <f>C8</f>
        <v>Gaji Bl Agustus 2025</v>
      </c>
      <c r="D25" s="13" t="s">
        <v>50</v>
      </c>
      <c r="E25" s="13" t="s">
        <v>51</v>
      </c>
      <c r="F25" s="13" t="e">
        <f>Rekap!#REF!</f>
        <v>#REF!</v>
      </c>
      <c r="H25" s="14" t="e">
        <f>Rekap!#REF!</f>
        <v>#REF!</v>
      </c>
    </row>
    <row r="26" spans="1:9">
      <c r="A26" s="11" t="s">
        <v>84</v>
      </c>
      <c r="B26" s="12" t="e">
        <f>Rekap!#REF!</f>
        <v>#REF!</v>
      </c>
      <c r="C26" s="13" t="str">
        <f>C9</f>
        <v>Gaji Bl Agustus 2025</v>
      </c>
      <c r="D26" s="13" t="s">
        <v>50</v>
      </c>
      <c r="E26" s="13" t="s">
        <v>51</v>
      </c>
      <c r="F26" s="13" t="s">
        <v>85</v>
      </c>
      <c r="H26" s="14" t="e">
        <f>Rekap!#REF!</f>
        <v>#REF!</v>
      </c>
      <c r="I26" s="5" t="s">
        <v>86</v>
      </c>
    </row>
    <row r="27" spans="1:10">
      <c r="A27" s="11" t="s">
        <v>87</v>
      </c>
      <c r="B27" s="12" t="e">
        <f>Rekap!#REF!</f>
        <v>#REF!</v>
      </c>
      <c r="C27" s="13" t="str">
        <f>C12</f>
        <v>Gaji Bl Agustus 2025</v>
      </c>
      <c r="D27" s="13" t="s">
        <v>50</v>
      </c>
      <c r="E27" s="13" t="s">
        <v>51</v>
      </c>
      <c r="F27" s="13" t="e">
        <f>Rekap!#REF!</f>
        <v>#REF!</v>
      </c>
      <c r="H27" s="14" t="e">
        <f>Rekap!#REF!</f>
        <v>#REF!</v>
      </c>
      <c r="I27" s="36"/>
      <c r="J27" s="4"/>
    </row>
    <row r="28" spans="1:9">
      <c r="A28" s="11" t="s">
        <v>88</v>
      </c>
      <c r="B28" s="12" t="e">
        <f>Rekap!#REF!</f>
        <v>#REF!</v>
      </c>
      <c r="C28" s="13" t="str">
        <f>C14</f>
        <v>Gaji Bl Agustus 2025</v>
      </c>
      <c r="D28" s="13" t="s">
        <v>50</v>
      </c>
      <c r="E28" s="13" t="s">
        <v>51</v>
      </c>
      <c r="F28" s="13" t="s">
        <v>89</v>
      </c>
      <c r="H28" s="14" t="e">
        <f>Rekap!#REF!</f>
        <v>#REF!</v>
      </c>
      <c r="I28" s="36"/>
    </row>
    <row r="29" spans="1:9">
      <c r="A29" s="11" t="s">
        <v>90</v>
      </c>
      <c r="B29" s="12" t="e">
        <f>Rekap!#REF!</f>
        <v>#REF!</v>
      </c>
      <c r="C29" s="13" t="str">
        <f>C13</f>
        <v>Gaji Bl Agustus 2025</v>
      </c>
      <c r="D29" s="13" t="s">
        <v>50</v>
      </c>
      <c r="E29" s="13" t="s">
        <v>51</v>
      </c>
      <c r="F29" s="13" t="s">
        <v>91</v>
      </c>
      <c r="H29" s="14" t="e">
        <f>Rekap!#REF!</f>
        <v>#REF!</v>
      </c>
      <c r="I29" s="36"/>
    </row>
    <row r="30" spans="1:9">
      <c r="A30" s="11" t="s">
        <v>92</v>
      </c>
      <c r="B30" s="12" t="e">
        <f>Rekap!#REF!</f>
        <v>#REF!</v>
      </c>
      <c r="C30" s="13" t="str">
        <f>C13</f>
        <v>Gaji Bl Agustus 2025</v>
      </c>
      <c r="D30" s="13" t="s">
        <v>50</v>
      </c>
      <c r="E30" s="13" t="s">
        <v>51</v>
      </c>
      <c r="F30" s="15" t="e">
        <f>Rekap!#REF!</f>
        <v>#REF!</v>
      </c>
      <c r="H30" s="14" t="e">
        <f>Rekap!#REF!</f>
        <v>#REF!</v>
      </c>
      <c r="I30" s="4"/>
    </row>
    <row r="31" spans="1:9">
      <c r="A31" s="11" t="s">
        <v>93</v>
      </c>
      <c r="B31" s="12" t="e">
        <f>Rekap!#REF!</f>
        <v>#REF!</v>
      </c>
      <c r="C31" s="13" t="str">
        <f>C14</f>
        <v>Gaji Bl Agustus 2025</v>
      </c>
      <c r="D31" s="13" t="s">
        <v>50</v>
      </c>
      <c r="E31" s="13" t="s">
        <v>51</v>
      </c>
      <c r="F31" s="15" t="s">
        <v>94</v>
      </c>
      <c r="H31" s="14" t="e">
        <f>Rekap!#REF!</f>
        <v>#REF!</v>
      </c>
      <c r="I31" s="4"/>
    </row>
    <row r="32" spans="1:9">
      <c r="A32" s="11" t="s">
        <v>95</v>
      </c>
      <c r="B32" s="12" t="e">
        <f>Rekap!#REF!</f>
        <v>#REF!</v>
      </c>
      <c r="C32" s="13" t="str">
        <f>C17</f>
        <v>Gaji Bl Agustus 2025</v>
      </c>
      <c r="D32" s="13" t="s">
        <v>50</v>
      </c>
      <c r="E32" s="13" t="s">
        <v>51</v>
      </c>
      <c r="F32" s="15" t="e">
        <f>Rekap!#REF!</f>
        <v>#REF!</v>
      </c>
      <c r="H32" s="14" t="e">
        <f>Rekap!#REF!</f>
        <v>#REF!</v>
      </c>
      <c r="I32" s="4"/>
    </row>
    <row r="33" spans="1:9">
      <c r="A33" s="11" t="s">
        <v>96</v>
      </c>
      <c r="B33" s="12" t="e">
        <f>Rekap!#REF!</f>
        <v>#REF!</v>
      </c>
      <c r="C33" s="13" t="str">
        <f t="shared" ref="C33:C35" si="1">C18</f>
        <v>Gaji Bl Agustus 2025</v>
      </c>
      <c r="D33" s="13" t="s">
        <v>50</v>
      </c>
      <c r="E33" s="13" t="s">
        <v>51</v>
      </c>
      <c r="F33" s="15" t="s">
        <v>97</v>
      </c>
      <c r="H33" s="14"/>
      <c r="I33" s="4"/>
    </row>
    <row r="34" spans="1:9">
      <c r="A34" s="11" t="s">
        <v>98</v>
      </c>
      <c r="B34" s="12" t="e">
        <f>Rekap!#REF!</f>
        <v>#REF!</v>
      </c>
      <c r="C34" s="13" t="str">
        <f t="shared" si="1"/>
        <v>Gaji Bl Agustus 2025</v>
      </c>
      <c r="D34" s="13" t="s">
        <v>50</v>
      </c>
      <c r="E34" s="13" t="s">
        <v>51</v>
      </c>
      <c r="F34" s="15" t="e">
        <f>Rekap!#REF!</f>
        <v>#REF!</v>
      </c>
      <c r="H34" s="14"/>
      <c r="I34" s="4"/>
    </row>
    <row r="35" spans="1:9">
      <c r="A35" s="11" t="s">
        <v>99</v>
      </c>
      <c r="B35" s="12" t="e">
        <f>Rekap!#REF!</f>
        <v>#REF!</v>
      </c>
      <c r="C35" s="13" t="str">
        <f t="shared" si="1"/>
        <v>Gaji Bl Agustus 2025</v>
      </c>
      <c r="D35" s="13" t="s">
        <v>50</v>
      </c>
      <c r="E35" s="13" t="s">
        <v>51</v>
      </c>
      <c r="F35" s="15" t="e">
        <f>Rekap!#REF!</f>
        <v>#REF!</v>
      </c>
      <c r="H35" s="14"/>
      <c r="I35" s="4"/>
    </row>
    <row r="36" spans="1:11">
      <c r="A36" s="11" t="s">
        <v>100</v>
      </c>
      <c r="B36" s="12">
        <v>2690000</v>
      </c>
      <c r="C36" s="13" t="s">
        <v>101</v>
      </c>
      <c r="D36" s="13" t="s">
        <v>50</v>
      </c>
      <c r="E36" s="13" t="s">
        <v>51</v>
      </c>
      <c r="F36" s="13" t="s">
        <v>102</v>
      </c>
      <c r="H36" s="14"/>
      <c r="I36" s="4"/>
      <c r="K36" s="5">
        <v>515000</v>
      </c>
    </row>
    <row r="37" spans="1:11">
      <c r="A37" s="11" t="s">
        <v>103</v>
      </c>
      <c r="B37" s="12" t="e">
        <f>Rekap!#REF!</f>
        <v>#REF!</v>
      </c>
      <c r="C37" s="13" t="s">
        <v>104</v>
      </c>
      <c r="D37" s="13" t="s">
        <v>50</v>
      </c>
      <c r="E37" s="13" t="s">
        <v>51</v>
      </c>
      <c r="F37" s="13" t="s">
        <v>105</v>
      </c>
      <c r="H37" s="14"/>
      <c r="I37" s="4"/>
      <c r="K37" s="5">
        <v>140000</v>
      </c>
    </row>
    <row r="38" ht="17.25" customHeight="1" spans="1:11">
      <c r="A38" s="16" t="s">
        <v>106</v>
      </c>
      <c r="B38" s="17" t="e">
        <f>SUM(B4:B37)</f>
        <v>#REF!</v>
      </c>
      <c r="C38" s="18"/>
      <c r="D38" s="18"/>
      <c r="E38" s="18"/>
      <c r="F38" s="18"/>
      <c r="G38" s="19"/>
      <c r="H38" s="14" t="e">
        <f>Rekap!#REF!</f>
        <v>#REF!</v>
      </c>
      <c r="I38" s="4"/>
      <c r="K38" s="5">
        <v>740000</v>
      </c>
    </row>
    <row r="39" ht="15" spans="2:11">
      <c r="B39" s="20" t="e">
        <f>B38-B37-B36</f>
        <v>#REF!</v>
      </c>
      <c r="F39" s="21"/>
      <c r="G39" s="22"/>
      <c r="K39" s="5">
        <v>1240000</v>
      </c>
    </row>
    <row r="40" ht="15.75" spans="1:11">
      <c r="A40" s="23" t="s">
        <v>107</v>
      </c>
      <c r="C40" s="24" t="s">
        <v>108</v>
      </c>
      <c r="D40" s="24"/>
      <c r="F40" s="25" t="s">
        <v>109</v>
      </c>
      <c r="G40" s="5" t="s">
        <v>110</v>
      </c>
      <c r="K40" s="5">
        <f ca="1">SUM(K36:K40)</f>
        <v>2635000</v>
      </c>
    </row>
    <row r="41" ht="15.75" spans="1:6">
      <c r="A41" s="26" t="s">
        <v>111</v>
      </c>
      <c r="C41" s="27" t="s">
        <v>112</v>
      </c>
      <c r="D41" s="27" t="s">
        <v>113</v>
      </c>
      <c r="E41" s="27"/>
      <c r="F41" s="27" t="s">
        <v>114</v>
      </c>
    </row>
    <row r="42" ht="15.75" spans="1:6">
      <c r="A42" s="28"/>
      <c r="F42" s="29"/>
    </row>
    <row r="43" ht="15.75" spans="1:6">
      <c r="A43" s="28"/>
      <c r="F43" s="29"/>
    </row>
    <row r="44" spans="1:6">
      <c r="A44" s="30" t="s">
        <v>115</v>
      </c>
      <c r="B44" s="30"/>
      <c r="C44" s="31" t="s">
        <v>116</v>
      </c>
      <c r="D44" s="32" t="s">
        <v>117</v>
      </c>
      <c r="E44" s="32"/>
      <c r="F44" s="33" t="s">
        <v>118</v>
      </c>
    </row>
    <row r="46" ht="14.1" customHeight="1"/>
    <row r="47" ht="14.1" customHeight="1"/>
    <row r="48" ht="14.1" customHeight="1" spans="1:6">
      <c r="A48" s="34"/>
      <c r="B48" s="34"/>
      <c r="C48" s="34"/>
      <c r="D48" s="34"/>
      <c r="E48" s="34"/>
      <c r="F48" s="34"/>
    </row>
    <row r="51" ht="14.1" customHeight="1" spans="3:3">
      <c r="C51" s="4" t="s">
        <v>110</v>
      </c>
    </row>
  </sheetData>
  <mergeCells count="4">
    <mergeCell ref="A1:D1"/>
    <mergeCell ref="A2:D2"/>
    <mergeCell ref="C40:D40"/>
    <mergeCell ref="D41:E41"/>
  </mergeCells>
  <printOptions horizontalCentered="1"/>
  <pageMargins left="0.31496062992126" right="0.196850393700787" top="0.354330708661417" bottom="0.551181102362205" header="0.31496062992126" footer="0.31496062992126"/>
  <pageSetup paperSize="9" scale="9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9"/>
  <sheetViews>
    <sheetView workbookViewId="0">
      <selection activeCell="G9" sqref="G9"/>
    </sheetView>
  </sheetViews>
  <sheetFormatPr defaultColWidth="9" defaultRowHeight="15" outlineLevelCol="6"/>
  <sheetData>
    <row r="9" spans="7:7">
      <c r="G9" t="s">
        <v>110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Rekap</vt:lpstr>
      <vt:lpstr>Payroll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BAUK Stkip Adzkia</dc:creator>
  <cp:lastModifiedBy>winda winda</cp:lastModifiedBy>
  <dcterms:created xsi:type="dcterms:W3CDTF">2022-10-25T03:51:00Z</dcterms:created>
  <cp:lastPrinted>2025-08-19T08:08:00Z</cp:lastPrinted>
  <dcterms:modified xsi:type="dcterms:W3CDTF">2025-08-27T09:58:31Z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CDCD3BE6E7E44624A258F8B8B3B43CFB_13</vt:lpwstr>
  </property>
  <property fmtid="{D5CDD505-2E9C-101B-9397-08002B2CF9AE}" pid="3" name="KSOProductBuildVer">
    <vt:lpwstr>1033-12.2.0.21931</vt:lpwstr>
  </property>
</Properties>
</file>